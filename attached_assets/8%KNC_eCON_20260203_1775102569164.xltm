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250\Server\0-HCT\SST EINVOICE 2026\"/>
    </mc:Choice>
  </mc:AlternateContent>
  <xr:revisionPtr revIDLastSave="0" documentId="8_{9656689B-4D29-4432-AC97-061247A1AD25}" xr6:coauthVersionLast="47" xr6:coauthVersionMax="47" xr10:uidLastSave="{00000000-0000-0000-0000-000000000000}"/>
  <workbookProtection workbookAlgorithmName="SHA-512" workbookHashValue="GifuMDOqdGoOIM+43vWzXDgkaMzDJZQOp6MrLqcJNKLnUi5QmC6nk6k7v0xVk0wDtswaFvh5WjK3CTF1QNrb7A==" workbookSaltValue="TmjEU7XTqh80XoBPfheuqg==" workbookSpinCount="100000" lockStructure="1"/>
  <bookViews>
    <workbookView xWindow="-120" yWindow="-120" windowWidth="24240" windowHeight="13140" xr2:uid="{00000000-000D-0000-FFFF-FFFF00000000}"/>
  </bookViews>
  <sheets>
    <sheet name="Sheet1" sheetId="1" r:id="rId1"/>
    <sheet name="Attm I" sheetId="3" r:id="rId2"/>
  </sheets>
  <definedNames>
    <definedName name="_xlnm.Print_Area" localSheetId="1">'Attm I'!$A$1:$J$51</definedName>
    <definedName name="_xlnm.Print_Area" localSheetId="0">Sheet1!$A$1:$J$86</definedName>
    <definedName name="_xlnm.Print_Titles" localSheetId="0">Sheet1!$1:$9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73" i="1" l="1"/>
  <c r="J71" i="1"/>
  <c r="I71" i="1"/>
  <c r="H71" i="1"/>
  <c r="I70" i="1"/>
  <c r="I45" i="1"/>
  <c r="I69" i="1"/>
  <c r="I68" i="1"/>
  <c r="I67" i="1"/>
  <c r="I66" i="1"/>
  <c r="I65" i="1"/>
  <c r="I60" i="1"/>
  <c r="I59" i="1"/>
  <c r="I57" i="1"/>
  <c r="I56" i="1"/>
  <c r="I55" i="1"/>
  <c r="I54" i="1"/>
  <c r="I53" i="1"/>
  <c r="I52" i="1"/>
  <c r="I51" i="1"/>
  <c r="I49" i="1"/>
  <c r="I48" i="1"/>
  <c r="I47" i="1"/>
  <c r="I46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H11" i="1"/>
  <c r="H10" i="1"/>
  <c r="A5" i="3"/>
  <c r="A4" i="3"/>
  <c r="J70" i="1" l="1"/>
  <c r="H50" i="3"/>
  <c r="H61" i="1" l="1"/>
  <c r="J60" i="1"/>
  <c r="J57" i="1" l="1"/>
  <c r="J56" i="1"/>
  <c r="J46" i="1" l="1"/>
  <c r="J66" i="1" l="1"/>
  <c r="J59" i="1"/>
  <c r="J55" i="1"/>
  <c r="J54" i="1"/>
  <c r="J53" i="1"/>
  <c r="J52" i="1"/>
  <c r="J51" i="1"/>
  <c r="J69" i="1" l="1"/>
  <c r="I61" i="1"/>
  <c r="J68" i="1" l="1"/>
  <c r="J67" i="1"/>
  <c r="J65" i="1"/>
  <c r="J49" i="1" l="1"/>
  <c r="J48" i="1"/>
  <c r="J47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H73" i="1"/>
  <c r="J61" i="1" l="1"/>
  <c r="J75" i="1" s="1"/>
  <c r="I73" i="1"/>
</calcChain>
</file>

<file path=xl/sharedStrings.xml><?xml version="1.0" encoding="utf-8"?>
<sst xmlns="http://schemas.openxmlformats.org/spreadsheetml/2006/main" count="170" uniqueCount="116">
  <si>
    <t>TAX INVOICE</t>
  </si>
  <si>
    <t>To:</t>
  </si>
  <si>
    <t>Our Ref:</t>
  </si>
  <si>
    <t>RE:</t>
  </si>
  <si>
    <t xml:space="preserve">No. </t>
  </si>
  <si>
    <t>Description</t>
  </si>
  <si>
    <t>Tax Code</t>
  </si>
  <si>
    <t>Standard rated</t>
  </si>
  <si>
    <t>Zero rated</t>
  </si>
  <si>
    <t>TOTAL AMOUNT DUE</t>
  </si>
  <si>
    <t>ROUNDING ADJ.</t>
  </si>
  <si>
    <t>We trust that the above are in order for your early settlement.</t>
  </si>
  <si>
    <t>Thank you.</t>
  </si>
  <si>
    <t xml:space="preserve">Yours faithfully, </t>
  </si>
  <si>
    <t>MESSRS KHAIRIN-NISA' &amp; CO.</t>
  </si>
  <si>
    <t>Please make all cheques payable to Khairin-Nisa' &amp; Co.</t>
  </si>
  <si>
    <t>ADVOCATES &amp; SOLICITORS</t>
  </si>
  <si>
    <t>Fax: 03-77253841</t>
  </si>
  <si>
    <t>NYC/CON</t>
  </si>
  <si>
    <t>XXX</t>
  </si>
  <si>
    <t>TO OUR PROFESSIONAL CHARGES for services rendered in connection with the above matter including attendances &amp; taking instructions, opinions &amp; advice, meetings &amp; consultation, correspondences, preparing for execution, attesting, stamping, presentation &amp; registration of:-</t>
  </si>
  <si>
    <t>Debenture</t>
  </si>
  <si>
    <t>Tenancy Agreement</t>
  </si>
  <si>
    <t>Will</t>
  </si>
  <si>
    <t>Consent to Charge</t>
  </si>
  <si>
    <t>TOTAL FEES</t>
  </si>
  <si>
    <t>Loan Agreement/LACA/Facilities Agreement</t>
  </si>
  <si>
    <t>Property Purchase Agreement</t>
  </si>
  <si>
    <t>Documentation Fees</t>
  </si>
  <si>
    <t>Travelling and transportation</t>
  </si>
  <si>
    <t>Paper, printing, photocopy, stationery, binding</t>
  </si>
  <si>
    <t>Telephone, postage, courier, facsimile</t>
  </si>
  <si>
    <t>PROFESSIONAL FEES:</t>
  </si>
  <si>
    <t>SR</t>
  </si>
  <si>
    <t>ZR</t>
  </si>
  <si>
    <t>We accept Credit Card payment (*Terms and conditions apply)</t>
  </si>
  <si>
    <t>KHAIRIN-NISA’ &amp; CO.</t>
  </si>
  <si>
    <t>凯玲，侯律师楼</t>
  </si>
  <si>
    <t>QUOTATION</t>
  </si>
  <si>
    <t>Loan Amount:</t>
  </si>
  <si>
    <t>CKHT 1A, 2A, 3</t>
  </si>
  <si>
    <t>Bank:</t>
  </si>
  <si>
    <t>Bank Negara Malaysia</t>
  </si>
  <si>
    <t>Purchase Price:</t>
  </si>
  <si>
    <t>12345aaaaaaaaaaaaaaaaaaaaaaaaaaaaaaaaaaaaaaaaaaaaaaaaaaaaaaaaaaaaaaaaaaaaaaaaaaaaaaaaaaaaaaaa</t>
  </si>
  <si>
    <t>Transfer/Form14A/Form16F/Form16I NLC</t>
  </si>
  <si>
    <t>Deed of Assignment (by way of Transfer)</t>
  </si>
  <si>
    <t>Discharge Form16N NLC/Deed of Receipt &amp; Reassignment</t>
  </si>
  <si>
    <t>Form34/Form41, 42A &amp; 43 of CCM</t>
  </si>
  <si>
    <t>Entry Caveat (Private/Lienholder's)</t>
  </si>
  <si>
    <t>Withdrawal Caveat (Private/Lienholder's)</t>
  </si>
  <si>
    <t>Consent to Transfer</t>
  </si>
  <si>
    <t>Deed of Assignment (by way of Security)</t>
  </si>
  <si>
    <t>Charge Form16A NLC</t>
  </si>
  <si>
    <t>Personal Guarantee</t>
  </si>
  <si>
    <t>Corporate Guarantee</t>
  </si>
  <si>
    <t>Deed of Revocation</t>
  </si>
  <si>
    <t>Islamic Banking:</t>
  </si>
  <si>
    <t>Memorandum of Deposit</t>
  </si>
  <si>
    <t>Letter of Set off</t>
  </si>
  <si>
    <t>Assignment of Rental Proceed</t>
  </si>
  <si>
    <t>Other Agreement:</t>
  </si>
  <si>
    <t>Facility Agreement</t>
  </si>
  <si>
    <t>Ijarah Agreement</t>
  </si>
  <si>
    <t>Maintenance Agreement</t>
  </si>
  <si>
    <t>Purchase Undertaking</t>
  </si>
  <si>
    <t>1st Party Charge Annexure</t>
  </si>
  <si>
    <t>3rd Party Charge Annexure</t>
  </si>
  <si>
    <t>1st Party Deed Assignment</t>
  </si>
  <si>
    <t>Statutory Declaration</t>
  </si>
  <si>
    <t>- Property Purchase Agr:</t>
  </si>
  <si>
    <t>- Property Sale Agr:</t>
  </si>
  <si>
    <t>Please select</t>
  </si>
  <si>
    <t>Sale of Business Agreement</t>
  </si>
  <si>
    <t>Sale of Shares Agreement</t>
  </si>
  <si>
    <t>Shareholder's Agreement</t>
  </si>
  <si>
    <t>Easement</t>
  </si>
  <si>
    <t xml:space="preserve">Developer's Confirmation Letter </t>
  </si>
  <si>
    <t>loan RM200000, 
valuation RM000000000000000000000000000
RM</t>
  </si>
  <si>
    <t>Power of Attorney/Revocation of Power of Attorney</t>
  </si>
  <si>
    <t>SPA/Deed of Mutual Covenants</t>
  </si>
  <si>
    <t>CCM (Company/Business) / CTC Documents</t>
  </si>
  <si>
    <t>Form I</t>
  </si>
  <si>
    <t>Others-Refer Attachment I</t>
  </si>
  <si>
    <t>ATTACHMENT I</t>
  </si>
  <si>
    <t>RM</t>
  </si>
  <si>
    <t>TOTAL</t>
  </si>
  <si>
    <t>Sample agreement 1</t>
  </si>
  <si>
    <t>Sample agreement 2</t>
  </si>
  <si>
    <t>Sample agreement 3</t>
  </si>
  <si>
    <t>Email: khairinnisa-pj@khairinnisa.com</t>
  </si>
  <si>
    <t>UNIT 1519, 15TH FLOOR, LOBBY 6, BLOCK A, JALAN SS20/27, DAMANSARA INTAN, 47300 PETALING JAYA, SELANGOR</t>
  </si>
  <si>
    <t>ST No:</t>
  </si>
  <si>
    <t>B16-1809-32000206</t>
  </si>
  <si>
    <t>T</t>
  </si>
  <si>
    <t>Total Excl. ST (RM)</t>
  </si>
  <si>
    <t>Total Incl. ST (RM)</t>
  </si>
  <si>
    <t>TOTAL PAYABLE INCL. ST</t>
  </si>
  <si>
    <t>Tel: 03-77225746/77259175</t>
  </si>
  <si>
    <t>Bank Account Information</t>
  </si>
  <si>
    <t>Payable to:</t>
  </si>
  <si>
    <t xml:space="preserve">Bank: </t>
  </si>
  <si>
    <t xml:space="preserve">Branch: </t>
  </si>
  <si>
    <t>Acc No:</t>
  </si>
  <si>
    <t>Address:</t>
  </si>
  <si>
    <t>Khairin-Nisa &amp; Co (Client 's A/C)</t>
  </si>
  <si>
    <t>RHB Bank Berhad</t>
  </si>
  <si>
    <t>Damansara Jaya</t>
  </si>
  <si>
    <t>21206800093580</t>
  </si>
  <si>
    <t>22 &amp; 24, Jalan SS 22/25</t>
  </si>
  <si>
    <t>47400 Petaling Jaya</t>
  </si>
  <si>
    <t>Selangor</t>
  </si>
  <si>
    <t>ST @ 8% 
(RM)</t>
  </si>
  <si>
    <t>Miscellaneous</t>
  </si>
  <si>
    <t>REIMBURSEMENT</t>
  </si>
  <si>
    <t>TOTAL REIMBURSEMENTS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</si>
</sst>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RM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9">
    <xf numFmtId="0" fontId="0" fillId="0" borderId="0" xfId="0"/>
    <xf numFmtId="0" fontId="2" fillId="0" borderId="0" xfId="0" applyFont="1"/>
    <xf numFmtId="0" fontId="5" fillId="0" borderId="0" xfId="0" applyFont="1"/>
    <xf numFmtId="43" fontId="0" fillId="0" borderId="7" xfId="1" applyFont="1" applyBorder="1" applyAlignment="1">
      <alignment vertical="center"/>
    </xf>
    <xf numFmtId="43" fontId="0" fillId="0" borderId="1" xfId="1" applyFont="1" applyBorder="1" applyAlignment="1">
      <alignment vertical="center"/>
    </xf>
    <xf numFmtId="43" fontId="0" fillId="0" borderId="2" xfId="1" applyFont="1" applyBorder="1" applyAlignment="1">
      <alignment horizontal="right"/>
    </xf>
    <xf numFmtId="43" fontId="0" fillId="0" borderId="0" xfId="1" applyFont="1" applyBorder="1" applyAlignment="1">
      <alignment horizontal="right"/>
    </xf>
    <xf numFmtId="43" fontId="0" fillId="0" borderId="7" xfId="1" applyFont="1" applyBorder="1" applyAlignment="1">
      <alignment horizontal="right"/>
    </xf>
    <xf numFmtId="43" fontId="0" fillId="0" borderId="3" xfId="1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3" fontId="0" fillId="0" borderId="10" xfId="1" applyFont="1" applyBorder="1" applyAlignment="1" applyProtection="1">
      <alignment vertical="center"/>
      <protection locked="0"/>
    </xf>
    <xf numFmtId="43" fontId="0" fillId="0" borderId="7" xfId="1" applyFont="1" applyBorder="1" applyAlignment="1" applyProtection="1">
      <alignment horizontal="right"/>
      <protection locked="0"/>
    </xf>
    <xf numFmtId="43" fontId="0" fillId="0" borderId="3" xfId="1" applyFont="1" applyBorder="1" applyAlignment="1" applyProtection="1">
      <alignment horizontal="right"/>
      <protection locked="0"/>
    </xf>
    <xf numFmtId="43" fontId="0" fillId="0" borderId="1" xfId="1" applyFont="1" applyBorder="1" applyProtection="1">
      <protection locked="0"/>
    </xf>
    <xf numFmtId="43" fontId="0" fillId="0" borderId="2" xfId="1" applyFont="1" applyBorder="1" applyAlignment="1" applyProtection="1">
      <alignment horizontal="right"/>
      <protection locked="0"/>
    </xf>
    <xf numFmtId="0" fontId="7" fillId="0" borderId="0" xfId="0" applyFont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Protection="1"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" fontId="0" fillId="0" borderId="0" xfId="0" quotePrefix="1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7" xfId="0" applyBorder="1"/>
    <xf numFmtId="0" fontId="0" fillId="0" borderId="3" xfId="0" applyBorder="1"/>
    <xf numFmtId="0" fontId="0" fillId="0" borderId="11" xfId="0" applyBorder="1"/>
    <xf numFmtId="0" fontId="0" fillId="0" borderId="1" xfId="0" applyBorder="1"/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 wrapText="1"/>
    </xf>
    <xf numFmtId="43" fontId="0" fillId="0" borderId="1" xfId="0" applyNumberFormat="1" applyBorder="1"/>
    <xf numFmtId="39" fontId="0" fillId="0" borderId="0" xfId="0" applyNumberFormat="1"/>
    <xf numFmtId="43" fontId="0" fillId="0" borderId="1" xfId="0" applyNumberFormat="1" applyBorder="1" applyAlignment="1">
      <alignment horizontal="center" vertical="center"/>
    </xf>
    <xf numFmtId="0" fontId="0" fillId="0" borderId="11" xfId="0" applyBorder="1" applyAlignment="1">
      <alignment horizontal="left"/>
    </xf>
    <xf numFmtId="22" fontId="0" fillId="0" borderId="0" xfId="0" applyNumberFormat="1"/>
    <xf numFmtId="14" fontId="0" fillId="0" borderId="0" xfId="0" applyNumberFormat="1" applyProtection="1">
      <protection locked="0"/>
    </xf>
    <xf numFmtId="19" fontId="0" fillId="0" borderId="0" xfId="0" applyNumberFormat="1" applyProtection="1">
      <protection locked="0"/>
    </xf>
    <xf numFmtId="0" fontId="0" fillId="0" borderId="10" xfId="0" quotePrefix="1" applyBorder="1" applyAlignment="1">
      <alignment vertical="top"/>
    </xf>
    <xf numFmtId="0" fontId="0" fillId="0" borderId="7" xfId="0" applyBorder="1" applyAlignment="1">
      <alignment horizontal="center" vertical="top"/>
    </xf>
    <xf numFmtId="43" fontId="0" fillId="0" borderId="10" xfId="1" applyFont="1" applyBorder="1" applyAlignment="1" applyProtection="1">
      <alignment vertical="top"/>
      <protection locked="0"/>
    </xf>
    <xf numFmtId="43" fontId="0" fillId="0" borderId="7" xfId="1" applyFont="1" applyBorder="1" applyAlignment="1">
      <alignment horizontal="right" vertical="top"/>
    </xf>
    <xf numFmtId="43" fontId="0" fillId="0" borderId="10" xfId="1" applyFont="1" applyBorder="1" applyAlignment="1" applyProtection="1">
      <alignment vertical="center"/>
    </xf>
    <xf numFmtId="43" fontId="0" fillId="0" borderId="7" xfId="1" applyFont="1" applyBorder="1" applyAlignment="1" applyProtection="1">
      <alignment horizontal="righ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3" fontId="0" fillId="0" borderId="8" xfId="1" applyFont="1" applyBorder="1" applyAlignment="1">
      <alignment horizontal="right"/>
    </xf>
    <xf numFmtId="43" fontId="0" fillId="0" borderId="2" xfId="1" applyFont="1" applyBorder="1" applyAlignment="1">
      <alignment vertical="center"/>
    </xf>
    <xf numFmtId="43" fontId="0" fillId="0" borderId="7" xfId="1" applyFont="1" applyBorder="1" applyAlignment="1" applyProtection="1">
      <alignment vertical="center"/>
    </xf>
    <xf numFmtId="43" fontId="0" fillId="0" borderId="7" xfId="1" applyFont="1" applyBorder="1" applyAlignment="1">
      <alignment vertical="top"/>
    </xf>
    <xf numFmtId="0" fontId="0" fillId="0" borderId="13" xfId="0" applyBorder="1"/>
    <xf numFmtId="43" fontId="0" fillId="0" borderId="0" xfId="0" applyNumberFormat="1" applyProtection="1">
      <protection locked="0"/>
    </xf>
    <xf numFmtId="43" fontId="0" fillId="0" borderId="5" xfId="0" applyNumberFormat="1" applyBorder="1" applyProtection="1">
      <protection locked="0"/>
    </xf>
    <xf numFmtId="0" fontId="4" fillId="0" borderId="0" xfId="0" applyFont="1" applyAlignment="1">
      <alignment horizontal="center"/>
    </xf>
    <xf numFmtId="0" fontId="0" fillId="0" borderId="0" xfId="0" quotePrefix="1"/>
    <xf numFmtId="0" fontId="4" fillId="0" borderId="0" xfId="0" applyFont="1"/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164" fontId="0" fillId="0" borderId="0" xfId="0" applyNumberFormat="1" applyAlignment="1" applyProtection="1">
      <alignment horizontal="left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164" fontId="0" fillId="0" borderId="0" xfId="0" quotePrefix="1" applyNumberFormat="1" applyAlignment="1" applyProtection="1">
      <alignment horizontal="left" vertical="top" wrapText="1"/>
      <protection locked="0"/>
    </xf>
    <xf numFmtId="0" fontId="0" fillId="0" borderId="10" xfId="0" applyBorder="1" applyAlignment="1">
      <alignment horizontal="justify" wrapText="1"/>
    </xf>
    <xf numFmtId="0" fontId="0" fillId="0" borderId="0" xfId="0" applyAlignment="1">
      <alignment horizontal="justify" wrapText="1"/>
    </xf>
    <xf numFmtId="0" fontId="0" fillId="0" borderId="11" xfId="0" applyBorder="1" applyAlignment="1">
      <alignment horizontal="justify" wrapText="1"/>
    </xf>
    <xf numFmtId="0" fontId="0" fillId="0" borderId="12" xfId="0" applyBorder="1" applyAlignment="1">
      <alignment horizontal="justify" wrapText="1"/>
    </xf>
    <xf numFmtId="0" fontId="0" fillId="0" borderId="13" xfId="0" applyBorder="1" applyAlignment="1">
      <alignment horizontal="justify" wrapText="1"/>
    </xf>
    <xf numFmtId="0" fontId="0" fillId="0" borderId="14" xfId="0" applyBorder="1" applyAlignment="1">
      <alignment horizontal="justify" wrapText="1"/>
    </xf>
    <xf numFmtId="0" fontId="0" fillId="0" borderId="0" xfId="0" applyAlignment="1">
      <alignment horizontal="left" wrapText="1"/>
    </xf>
    <xf numFmtId="0" fontId="0" fillId="0" borderId="11" xfId="0" applyBorder="1" applyAlignment="1">
      <alignment horizontal="left" wrapText="1"/>
    </xf>
    <xf numFmtId="0" fontId="2" fillId="0" borderId="4" xfId="0" applyFont="1" applyBorder="1" applyAlignment="1">
      <alignment horizontal="right" vertical="center" wrapText="1"/>
    </xf>
    <xf numFmtId="0" fontId="2" fillId="0" borderId="6" xfId="0" applyFont="1" applyBorder="1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9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2" fillId="0" borderId="1" xfId="0" applyFont="1" applyBorder="1" applyAlignment="1">
      <alignment horizontal="right"/>
    </xf>
    <xf numFmtId="0" fontId="2" fillId="0" borderId="13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0" fontId="3" fillId="0" borderId="13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4"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6"/>
  <sheetViews>
    <sheetView tabSelected="1" view="pageBreakPreview" topLeftCell="A68" zoomScaleNormal="100" zoomScaleSheetLayoutView="100" workbookViewId="0">
      <selection activeCell="J74" sqref="J74"/>
    </sheetView>
  </sheetViews>
  <sheetFormatPr defaultRowHeight="15" x14ac:dyDescent="0.25"/>
  <cols>
    <col min="1" max="1" width="8.42578125" customWidth="1"/>
    <col min="2" max="2" width="10" customWidth="1"/>
    <col min="6" max="6" width="18.42578125" customWidth="1"/>
    <col min="7" max="7" width="7.140625" customWidth="1"/>
    <col min="8" max="8" width="13.28515625" bestFit="1" customWidth="1"/>
    <col min="9" max="9" width="11.5703125" bestFit="1" customWidth="1"/>
    <col min="10" max="10" width="13.28515625" customWidth="1"/>
    <col min="12" max="12" width="12.28515625" bestFit="1" customWidth="1"/>
    <col min="13" max="13" width="12.7109375" bestFit="1" customWidth="1"/>
  </cols>
  <sheetData>
    <row r="1" spans="1:12" ht="18.75" x14ac:dyDescent="0.3">
      <c r="A1" s="66" t="s">
        <v>36</v>
      </c>
      <c r="B1" s="66"/>
      <c r="C1" s="66"/>
      <c r="D1" s="66"/>
      <c r="E1" s="66"/>
      <c r="F1" s="66"/>
      <c r="G1" s="66"/>
      <c r="H1" s="66"/>
      <c r="I1" s="66"/>
      <c r="J1" s="66"/>
      <c r="L1" s="16"/>
    </row>
    <row r="2" spans="1:12" ht="15.75" x14ac:dyDescent="0.25">
      <c r="A2" s="68" t="s">
        <v>37</v>
      </c>
      <c r="B2" s="68"/>
      <c r="C2" s="68"/>
      <c r="D2" s="68"/>
      <c r="E2" s="68"/>
      <c r="F2" s="68"/>
      <c r="G2" s="68"/>
      <c r="H2" s="68"/>
      <c r="I2" s="68"/>
      <c r="J2" s="68"/>
      <c r="L2" s="16"/>
    </row>
    <row r="3" spans="1:12" x14ac:dyDescent="0.25">
      <c r="A3" s="67" t="s">
        <v>16</v>
      </c>
      <c r="B3" s="67"/>
      <c r="C3" s="67"/>
      <c r="D3" s="67"/>
      <c r="E3" s="67"/>
      <c r="F3" s="67"/>
      <c r="G3" s="67"/>
      <c r="H3" s="67"/>
      <c r="I3" s="67"/>
      <c r="J3" s="67"/>
      <c r="L3" s="16"/>
    </row>
    <row r="4" spans="1:12" x14ac:dyDescent="0.25">
      <c r="A4" s="67" t="s">
        <v>91</v>
      </c>
      <c r="B4" s="67"/>
      <c r="C4" s="67"/>
      <c r="D4" s="67"/>
      <c r="E4" s="67"/>
      <c r="F4" s="67"/>
      <c r="G4" s="67"/>
      <c r="H4" s="67"/>
      <c r="I4" s="67"/>
      <c r="J4" s="67"/>
      <c r="L4" s="16"/>
    </row>
    <row r="5" spans="1:12" x14ac:dyDescent="0.25">
      <c r="A5" s="67" t="s">
        <v>98</v>
      </c>
      <c r="B5" s="67"/>
      <c r="C5" s="67"/>
      <c r="D5" s="67"/>
      <c r="E5" s="67"/>
      <c r="F5" s="67"/>
      <c r="G5" s="67"/>
      <c r="H5" s="67"/>
      <c r="I5" s="67"/>
      <c r="J5" s="67"/>
      <c r="L5" s="16"/>
    </row>
    <row r="6" spans="1:12" x14ac:dyDescent="0.25">
      <c r="A6" s="67" t="s">
        <v>17</v>
      </c>
      <c r="B6" s="67"/>
      <c r="C6" s="67"/>
      <c r="D6" s="67"/>
      <c r="E6" s="67"/>
      <c r="F6" s="67"/>
      <c r="G6" s="67"/>
      <c r="H6" s="67"/>
      <c r="I6" s="67"/>
      <c r="J6" s="67"/>
      <c r="L6" s="16"/>
    </row>
    <row r="7" spans="1:12" x14ac:dyDescent="0.25">
      <c r="A7" s="67" t="s">
        <v>90</v>
      </c>
      <c r="B7" s="67"/>
      <c r="C7" s="67"/>
      <c r="D7" s="67"/>
      <c r="E7" s="67"/>
      <c r="F7" s="67"/>
      <c r="G7" s="67"/>
      <c r="H7" s="67"/>
      <c r="I7" s="67"/>
      <c r="J7" s="67"/>
      <c r="L7" s="16"/>
    </row>
    <row r="8" spans="1:12" ht="11.1" customHeight="1" x14ac:dyDescent="0.25">
      <c r="A8" s="67"/>
      <c r="B8" s="67"/>
      <c r="C8" s="67"/>
      <c r="D8" s="67"/>
      <c r="E8" s="67"/>
      <c r="F8" s="67"/>
      <c r="G8" s="67"/>
      <c r="H8" s="67"/>
      <c r="I8" s="67"/>
      <c r="J8" s="67"/>
      <c r="L8" s="16"/>
    </row>
    <row r="9" spans="1:12" ht="18.75" x14ac:dyDescent="0.25">
      <c r="E9" s="80" t="s">
        <v>38</v>
      </c>
      <c r="F9" s="80"/>
      <c r="H9" t="s">
        <v>92</v>
      </c>
      <c r="J9" s="17" t="s">
        <v>93</v>
      </c>
    </row>
    <row r="10" spans="1:12" x14ac:dyDescent="0.25">
      <c r="A10" t="s">
        <v>2</v>
      </c>
      <c r="C10" s="18" t="s">
        <v>18</v>
      </c>
      <c r="H10" t="str">
        <f>IF(E9="INVOICE", "Invoice No:", "")</f>
        <v/>
      </c>
      <c r="J10" s="19"/>
    </row>
    <row r="11" spans="1:12" x14ac:dyDescent="0.25">
      <c r="A11" t="s">
        <v>1</v>
      </c>
      <c r="C11" s="84" t="s">
        <v>19</v>
      </c>
      <c r="D11" s="84"/>
      <c r="E11" s="84"/>
      <c r="F11" s="84"/>
      <c r="H11" t="str">
        <f>IF(E9="INVOICE", "Date:", "")</f>
        <v/>
      </c>
      <c r="J11" s="18"/>
      <c r="L11" s="40">
        <v>45365</v>
      </c>
    </row>
    <row r="12" spans="1:12" x14ac:dyDescent="0.25">
      <c r="C12" s="84"/>
      <c r="D12" s="84"/>
      <c r="E12" s="84"/>
      <c r="F12" s="84"/>
      <c r="J12" s="40"/>
      <c r="L12" s="41">
        <v>0.65211805555555558</v>
      </c>
    </row>
    <row r="13" spans="1:12" x14ac:dyDescent="0.25">
      <c r="C13" s="84"/>
      <c r="D13" s="84"/>
      <c r="E13" s="84"/>
      <c r="F13" s="84"/>
      <c r="J13" s="41"/>
      <c r="L13" s="41"/>
    </row>
    <row r="14" spans="1:12" x14ac:dyDescent="0.25">
      <c r="C14" s="84"/>
      <c r="D14" s="84"/>
      <c r="E14" s="84"/>
      <c r="F14" s="84"/>
      <c r="J14" s="18"/>
    </row>
    <row r="15" spans="1:12" x14ac:dyDescent="0.25">
      <c r="A15" t="s">
        <v>3</v>
      </c>
      <c r="C15" s="85" t="s">
        <v>44</v>
      </c>
      <c r="D15" s="85"/>
      <c r="E15" s="85"/>
      <c r="F15" s="85"/>
      <c r="G15" s="85"/>
      <c r="H15" s="85"/>
      <c r="I15" s="85"/>
      <c r="J15" s="85"/>
    </row>
    <row r="16" spans="1:12" x14ac:dyDescent="0.25">
      <c r="C16" s="85"/>
      <c r="D16" s="85"/>
      <c r="E16" s="85"/>
      <c r="F16" s="85"/>
      <c r="G16" s="85"/>
      <c r="H16" s="85"/>
      <c r="I16" s="85"/>
      <c r="J16" s="85"/>
    </row>
    <row r="17" spans="1:13" x14ac:dyDescent="0.25">
      <c r="C17" s="85"/>
      <c r="D17" s="85"/>
      <c r="E17" s="85"/>
      <c r="F17" s="85"/>
      <c r="G17" s="85"/>
      <c r="H17" s="85"/>
      <c r="I17" s="85"/>
      <c r="J17" s="85"/>
    </row>
    <row r="18" spans="1:13" x14ac:dyDescent="0.25">
      <c r="A18" t="s">
        <v>43</v>
      </c>
      <c r="B18" s="20"/>
      <c r="C18" s="65">
        <v>1.1E+18</v>
      </c>
      <c r="D18" s="65"/>
      <c r="E18" s="65"/>
      <c r="F18" s="65"/>
      <c r="G18" s="20"/>
      <c r="H18" s="21"/>
      <c r="I18" s="20"/>
      <c r="J18" s="22"/>
    </row>
    <row r="19" spans="1:13" x14ac:dyDescent="0.25">
      <c r="A19" t="s">
        <v>41</v>
      </c>
      <c r="B19" s="20"/>
      <c r="C19" s="65" t="s">
        <v>42</v>
      </c>
      <c r="D19" s="65"/>
      <c r="E19" s="65"/>
      <c r="F19" s="65"/>
      <c r="G19" s="20"/>
      <c r="H19" s="21"/>
      <c r="I19" s="20"/>
      <c r="J19" s="22"/>
    </row>
    <row r="20" spans="1:13" ht="15" customHeight="1" x14ac:dyDescent="0.25">
      <c r="A20" t="s">
        <v>39</v>
      </c>
      <c r="B20" s="20"/>
      <c r="C20" s="69" t="s">
        <v>78</v>
      </c>
      <c r="D20" s="69"/>
      <c r="E20" s="69"/>
      <c r="F20" s="69"/>
      <c r="G20" s="20"/>
      <c r="H20" s="21"/>
      <c r="I20" s="20"/>
      <c r="J20" s="22"/>
    </row>
    <row r="21" spans="1:13" x14ac:dyDescent="0.25">
      <c r="B21" s="20"/>
      <c r="C21" s="69"/>
      <c r="D21" s="69"/>
      <c r="E21" s="69"/>
      <c r="F21" s="69"/>
      <c r="G21" s="20"/>
      <c r="H21" s="21"/>
      <c r="I21" s="20"/>
      <c r="J21" s="22"/>
    </row>
    <row r="22" spans="1:13" x14ac:dyDescent="0.25">
      <c r="B22" s="20"/>
      <c r="C22" s="69"/>
      <c r="D22" s="69"/>
      <c r="E22" s="69"/>
      <c r="F22" s="69"/>
      <c r="G22" s="20"/>
      <c r="H22" s="21"/>
      <c r="I22" s="20"/>
      <c r="J22" s="22"/>
    </row>
    <row r="23" spans="1:13" ht="11.1" customHeight="1" x14ac:dyDescent="0.25"/>
    <row r="24" spans="1:13" ht="45.75" customHeight="1" x14ac:dyDescent="0.25">
      <c r="A24" s="23" t="s">
        <v>4</v>
      </c>
      <c r="B24" s="24" t="s">
        <v>5</v>
      </c>
      <c r="C24" s="25"/>
      <c r="D24" s="25"/>
      <c r="E24" s="25"/>
      <c r="F24" s="26"/>
      <c r="G24" s="27" t="s">
        <v>6</v>
      </c>
      <c r="H24" s="27" t="s">
        <v>95</v>
      </c>
      <c r="I24" s="27" t="s">
        <v>112</v>
      </c>
      <c r="J24" s="27" t="s">
        <v>96</v>
      </c>
    </row>
    <row r="25" spans="1:13" ht="15" customHeight="1" x14ac:dyDescent="0.25">
      <c r="A25" s="10"/>
      <c r="B25" s="82" t="s">
        <v>32</v>
      </c>
      <c r="C25" s="83"/>
      <c r="D25" s="83"/>
      <c r="E25" s="83"/>
      <c r="F25" s="83"/>
      <c r="G25" s="83"/>
      <c r="H25" s="83"/>
      <c r="I25" s="83"/>
      <c r="J25" s="83"/>
    </row>
    <row r="26" spans="1:13" ht="15" customHeight="1" x14ac:dyDescent="0.25">
      <c r="A26" s="28"/>
      <c r="B26" s="70" t="s">
        <v>20</v>
      </c>
      <c r="C26" s="71"/>
      <c r="D26" s="71"/>
      <c r="E26" s="71"/>
      <c r="F26" s="71"/>
      <c r="G26" s="71"/>
      <c r="H26" s="71"/>
      <c r="I26" s="71"/>
      <c r="J26" s="72"/>
      <c r="L26" t="s">
        <v>33</v>
      </c>
      <c r="M26" t="s">
        <v>7</v>
      </c>
    </row>
    <row r="27" spans="1:13" x14ac:dyDescent="0.25">
      <c r="A27" s="28"/>
      <c r="B27" s="70"/>
      <c r="C27" s="71"/>
      <c r="D27" s="71"/>
      <c r="E27" s="71"/>
      <c r="F27" s="71"/>
      <c r="G27" s="71"/>
      <c r="H27" s="71"/>
      <c r="I27" s="71"/>
      <c r="J27" s="72"/>
      <c r="L27" t="s">
        <v>34</v>
      </c>
      <c r="M27" t="s">
        <v>8</v>
      </c>
    </row>
    <row r="28" spans="1:13" x14ac:dyDescent="0.25">
      <c r="A28" s="29"/>
      <c r="B28" s="73"/>
      <c r="C28" s="74"/>
      <c r="D28" s="74"/>
      <c r="E28" s="74"/>
      <c r="F28" s="74"/>
      <c r="G28" s="74"/>
      <c r="H28" s="74"/>
      <c r="I28" s="74"/>
      <c r="J28" s="75"/>
    </row>
    <row r="29" spans="1:13" x14ac:dyDescent="0.25">
      <c r="A29" s="28">
        <v>1</v>
      </c>
      <c r="B29" s="76" t="s">
        <v>80</v>
      </c>
      <c r="C29" s="76"/>
      <c r="D29" s="76"/>
      <c r="E29" s="76"/>
      <c r="F29" s="77"/>
      <c r="G29" s="9" t="s">
        <v>94</v>
      </c>
      <c r="H29" s="11">
        <v>0</v>
      </c>
      <c r="I29" s="7">
        <f t="shared" ref="I29:I49" si="0">IF(G29="T",H29*0.08,0)</f>
        <v>0</v>
      </c>
      <c r="J29" s="54">
        <f>+H29+I29</f>
        <v>0</v>
      </c>
      <c r="L29" t="s">
        <v>38</v>
      </c>
    </row>
    <row r="30" spans="1:13" ht="15" customHeight="1" x14ac:dyDescent="0.25">
      <c r="A30" s="28">
        <v>2</v>
      </c>
      <c r="B30" s="63" t="s">
        <v>46</v>
      </c>
      <c r="C30" s="63"/>
      <c r="D30" s="63"/>
      <c r="E30" s="63"/>
      <c r="F30" s="64"/>
      <c r="G30" s="9" t="s">
        <v>94</v>
      </c>
      <c r="H30" s="11">
        <v>0</v>
      </c>
      <c r="I30" s="7">
        <f t="shared" si="0"/>
        <v>0</v>
      </c>
      <c r="J30" s="3">
        <f t="shared" ref="J30:J49" si="1">+H30+I30</f>
        <v>0</v>
      </c>
      <c r="L30" t="s">
        <v>0</v>
      </c>
    </row>
    <row r="31" spans="1:13" x14ac:dyDescent="0.25">
      <c r="A31" s="28">
        <v>3</v>
      </c>
      <c r="B31" s="76" t="s">
        <v>45</v>
      </c>
      <c r="C31" s="76"/>
      <c r="D31" s="76"/>
      <c r="E31" s="76"/>
      <c r="F31" s="77"/>
      <c r="G31" s="9" t="s">
        <v>94</v>
      </c>
      <c r="H31" s="11">
        <v>0</v>
      </c>
      <c r="I31" s="7">
        <f t="shared" si="0"/>
        <v>0</v>
      </c>
      <c r="J31" s="3">
        <f t="shared" si="1"/>
        <v>0</v>
      </c>
    </row>
    <row r="32" spans="1:13" x14ac:dyDescent="0.25">
      <c r="A32" s="28">
        <v>4</v>
      </c>
      <c r="B32" s="63" t="s">
        <v>47</v>
      </c>
      <c r="C32" s="63"/>
      <c r="D32" s="63"/>
      <c r="E32" s="63"/>
      <c r="F32" s="64"/>
      <c r="G32" s="9" t="s">
        <v>94</v>
      </c>
      <c r="H32" s="11">
        <v>0</v>
      </c>
      <c r="I32" s="7">
        <f t="shared" si="0"/>
        <v>0</v>
      </c>
      <c r="J32" s="3">
        <f t="shared" si="1"/>
        <v>0</v>
      </c>
    </row>
    <row r="33" spans="1:16" x14ac:dyDescent="0.25">
      <c r="A33" s="28">
        <v>5</v>
      </c>
      <c r="B33" s="63" t="s">
        <v>48</v>
      </c>
      <c r="C33" s="63"/>
      <c r="D33" s="63"/>
      <c r="E33" s="63"/>
      <c r="F33" s="64"/>
      <c r="G33" s="9" t="s">
        <v>94</v>
      </c>
      <c r="H33" s="11">
        <v>0</v>
      </c>
      <c r="I33" s="7">
        <f t="shared" si="0"/>
        <v>0</v>
      </c>
      <c r="J33" s="3">
        <f t="shared" si="1"/>
        <v>0</v>
      </c>
    </row>
    <row r="34" spans="1:16" x14ac:dyDescent="0.25">
      <c r="A34" s="28">
        <v>6</v>
      </c>
      <c r="B34" s="63" t="s">
        <v>40</v>
      </c>
      <c r="C34" s="63"/>
      <c r="D34" s="63"/>
      <c r="E34" s="63"/>
      <c r="F34" s="64"/>
      <c r="G34" s="9" t="s">
        <v>94</v>
      </c>
      <c r="H34" s="11">
        <v>0</v>
      </c>
      <c r="I34" s="7">
        <f t="shared" si="0"/>
        <v>0</v>
      </c>
      <c r="J34" s="3">
        <f t="shared" si="1"/>
        <v>0</v>
      </c>
    </row>
    <row r="35" spans="1:16" x14ac:dyDescent="0.25">
      <c r="A35" s="28">
        <v>7</v>
      </c>
      <c r="B35" s="63" t="s">
        <v>49</v>
      </c>
      <c r="C35" s="63"/>
      <c r="D35" s="63"/>
      <c r="E35" s="63"/>
      <c r="F35" s="64"/>
      <c r="G35" s="9" t="s">
        <v>94</v>
      </c>
      <c r="H35" s="11">
        <v>0</v>
      </c>
      <c r="I35" s="7">
        <f t="shared" si="0"/>
        <v>0</v>
      </c>
      <c r="J35" s="3">
        <f t="shared" si="1"/>
        <v>0</v>
      </c>
      <c r="L35" s="63"/>
      <c r="M35" s="63"/>
      <c r="N35" s="63"/>
      <c r="O35" s="63"/>
      <c r="P35" s="63"/>
    </row>
    <row r="36" spans="1:16" x14ac:dyDescent="0.25">
      <c r="A36" s="28">
        <v>8</v>
      </c>
      <c r="B36" s="63" t="s">
        <v>50</v>
      </c>
      <c r="C36" s="63"/>
      <c r="D36" s="63"/>
      <c r="E36" s="63"/>
      <c r="F36" s="64"/>
      <c r="G36" s="9" t="s">
        <v>94</v>
      </c>
      <c r="H36" s="11">
        <v>0</v>
      </c>
      <c r="I36" s="7">
        <f t="shared" si="0"/>
        <v>0</v>
      </c>
      <c r="J36" s="3">
        <f t="shared" si="1"/>
        <v>0</v>
      </c>
    </row>
    <row r="37" spans="1:16" x14ac:dyDescent="0.25">
      <c r="A37" s="28">
        <v>9</v>
      </c>
      <c r="B37" s="63" t="s">
        <v>51</v>
      </c>
      <c r="C37" s="63"/>
      <c r="D37" s="63"/>
      <c r="E37" s="63"/>
      <c r="F37" s="64"/>
      <c r="G37" s="9" t="s">
        <v>94</v>
      </c>
      <c r="H37" s="11">
        <v>0</v>
      </c>
      <c r="I37" s="7">
        <f t="shared" si="0"/>
        <v>0</v>
      </c>
      <c r="J37" s="3">
        <f t="shared" si="1"/>
        <v>0</v>
      </c>
    </row>
    <row r="38" spans="1:16" x14ac:dyDescent="0.25">
      <c r="A38" s="28">
        <v>10</v>
      </c>
      <c r="B38" s="63" t="s">
        <v>26</v>
      </c>
      <c r="C38" s="63"/>
      <c r="D38" s="63"/>
      <c r="E38" s="63"/>
      <c r="F38" s="64"/>
      <c r="G38" s="9" t="s">
        <v>94</v>
      </c>
      <c r="H38" s="11">
        <v>0</v>
      </c>
      <c r="I38" s="7">
        <f t="shared" si="0"/>
        <v>0</v>
      </c>
      <c r="J38" s="3">
        <f t="shared" si="1"/>
        <v>0</v>
      </c>
    </row>
    <row r="39" spans="1:16" x14ac:dyDescent="0.25">
      <c r="A39" s="28">
        <v>11</v>
      </c>
      <c r="B39" s="63" t="s">
        <v>52</v>
      </c>
      <c r="C39" s="63"/>
      <c r="D39" s="63"/>
      <c r="E39" s="63"/>
      <c r="F39" s="64"/>
      <c r="G39" s="9" t="s">
        <v>94</v>
      </c>
      <c r="H39" s="11">
        <v>0</v>
      </c>
      <c r="I39" s="7">
        <f t="shared" si="0"/>
        <v>0</v>
      </c>
      <c r="J39" s="3">
        <f t="shared" si="1"/>
        <v>0</v>
      </c>
    </row>
    <row r="40" spans="1:16" x14ac:dyDescent="0.25">
      <c r="A40" s="28">
        <v>12</v>
      </c>
      <c r="B40" s="63" t="s">
        <v>79</v>
      </c>
      <c r="C40" s="63"/>
      <c r="D40" s="63"/>
      <c r="E40" s="63"/>
      <c r="F40" s="64"/>
      <c r="G40" s="9" t="s">
        <v>94</v>
      </c>
      <c r="H40" s="11">
        <v>0</v>
      </c>
      <c r="I40" s="7">
        <f t="shared" si="0"/>
        <v>0</v>
      </c>
      <c r="J40" s="3">
        <f t="shared" si="1"/>
        <v>0</v>
      </c>
    </row>
    <row r="41" spans="1:16" x14ac:dyDescent="0.25">
      <c r="A41" s="28">
        <v>13</v>
      </c>
      <c r="B41" s="63" t="s">
        <v>53</v>
      </c>
      <c r="C41" s="63"/>
      <c r="D41" s="63"/>
      <c r="E41" s="63"/>
      <c r="F41" s="64"/>
      <c r="G41" s="9" t="s">
        <v>94</v>
      </c>
      <c r="H41" s="11">
        <v>0</v>
      </c>
      <c r="I41" s="7">
        <f t="shared" si="0"/>
        <v>0</v>
      </c>
      <c r="J41" s="3">
        <f t="shared" si="1"/>
        <v>0</v>
      </c>
    </row>
    <row r="42" spans="1:16" x14ac:dyDescent="0.25">
      <c r="A42" s="28">
        <v>14</v>
      </c>
      <c r="B42" s="63" t="s">
        <v>24</v>
      </c>
      <c r="C42" s="63"/>
      <c r="D42" s="63"/>
      <c r="E42" s="63"/>
      <c r="F42" s="64"/>
      <c r="G42" s="9" t="s">
        <v>94</v>
      </c>
      <c r="H42" s="11">
        <v>0</v>
      </c>
      <c r="I42" s="7">
        <f t="shared" si="0"/>
        <v>0</v>
      </c>
      <c r="J42" s="3">
        <f t="shared" si="1"/>
        <v>0</v>
      </c>
    </row>
    <row r="43" spans="1:16" x14ac:dyDescent="0.25">
      <c r="A43" s="28">
        <v>15</v>
      </c>
      <c r="B43" s="63" t="s">
        <v>54</v>
      </c>
      <c r="C43" s="63"/>
      <c r="D43" s="63"/>
      <c r="E43" s="63"/>
      <c r="F43" s="64"/>
      <c r="G43" s="9" t="s">
        <v>94</v>
      </c>
      <c r="H43" s="11">
        <v>0</v>
      </c>
      <c r="I43" s="7">
        <f t="shared" si="0"/>
        <v>0</v>
      </c>
      <c r="J43" s="3">
        <f t="shared" si="1"/>
        <v>0</v>
      </c>
    </row>
    <row r="44" spans="1:16" x14ac:dyDescent="0.25">
      <c r="A44" s="28">
        <v>16</v>
      </c>
      <c r="B44" s="63" t="s">
        <v>55</v>
      </c>
      <c r="C44" s="63"/>
      <c r="D44" s="63"/>
      <c r="E44" s="63"/>
      <c r="F44" s="64"/>
      <c r="G44" s="9" t="s">
        <v>94</v>
      </c>
      <c r="H44" s="11">
        <v>0</v>
      </c>
      <c r="I44" s="7">
        <f t="shared" si="0"/>
        <v>0</v>
      </c>
      <c r="J44" s="3">
        <f t="shared" si="1"/>
        <v>0</v>
      </c>
    </row>
    <row r="45" spans="1:16" x14ac:dyDescent="0.25">
      <c r="A45" s="28">
        <v>17</v>
      </c>
      <c r="B45" s="63" t="s">
        <v>21</v>
      </c>
      <c r="C45" s="63"/>
      <c r="D45" s="63"/>
      <c r="E45" s="63"/>
      <c r="F45" s="64"/>
      <c r="G45" s="9" t="s">
        <v>94</v>
      </c>
      <c r="H45" s="11">
        <v>0</v>
      </c>
      <c r="I45" s="7">
        <f t="shared" si="0"/>
        <v>0</v>
      </c>
      <c r="J45" s="3">
        <f t="shared" si="1"/>
        <v>0</v>
      </c>
    </row>
    <row r="46" spans="1:16" x14ac:dyDescent="0.25">
      <c r="A46" s="28">
        <v>18</v>
      </c>
      <c r="B46" s="63" t="s">
        <v>81</v>
      </c>
      <c r="C46" s="63"/>
      <c r="D46" s="63"/>
      <c r="E46" s="63"/>
      <c r="F46" s="64"/>
      <c r="G46" s="9" t="s">
        <v>94</v>
      </c>
      <c r="H46" s="11">
        <v>0</v>
      </c>
      <c r="I46" s="7">
        <f t="shared" si="0"/>
        <v>0</v>
      </c>
      <c r="J46" s="3">
        <f t="shared" ref="J46" si="2">+H46+I46</f>
        <v>0</v>
      </c>
      <c r="M46" s="39"/>
    </row>
    <row r="47" spans="1:16" x14ac:dyDescent="0.25">
      <c r="A47" s="28">
        <v>19</v>
      </c>
      <c r="B47" s="63" t="s">
        <v>56</v>
      </c>
      <c r="C47" s="63"/>
      <c r="D47" s="63"/>
      <c r="E47" s="63"/>
      <c r="F47" s="64"/>
      <c r="G47" s="9" t="s">
        <v>94</v>
      </c>
      <c r="H47" s="11">
        <v>0</v>
      </c>
      <c r="I47" s="7">
        <f t="shared" si="0"/>
        <v>0</v>
      </c>
      <c r="J47" s="3">
        <f t="shared" si="1"/>
        <v>0</v>
      </c>
      <c r="M47" s="39"/>
    </row>
    <row r="48" spans="1:16" x14ac:dyDescent="0.25">
      <c r="A48" s="28">
        <v>20</v>
      </c>
      <c r="B48" s="63" t="s">
        <v>22</v>
      </c>
      <c r="C48" s="63"/>
      <c r="D48" s="63"/>
      <c r="E48" s="63"/>
      <c r="F48" s="64"/>
      <c r="G48" s="9" t="s">
        <v>94</v>
      </c>
      <c r="H48" s="11">
        <v>0</v>
      </c>
      <c r="I48" s="7">
        <f t="shared" si="0"/>
        <v>0</v>
      </c>
      <c r="J48" s="3">
        <f t="shared" si="1"/>
        <v>0</v>
      </c>
    </row>
    <row r="49" spans="1:18" x14ac:dyDescent="0.25">
      <c r="A49" s="28">
        <v>21</v>
      </c>
      <c r="B49" s="21" t="s">
        <v>23</v>
      </c>
      <c r="C49" s="21"/>
      <c r="D49" s="21"/>
      <c r="E49" s="21"/>
      <c r="F49" s="38"/>
      <c r="G49" s="9" t="s">
        <v>94</v>
      </c>
      <c r="H49" s="11">
        <v>0</v>
      </c>
      <c r="I49" s="7">
        <f t="shared" si="0"/>
        <v>0</v>
      </c>
      <c r="J49" s="3">
        <f t="shared" si="1"/>
        <v>0</v>
      </c>
    </row>
    <row r="50" spans="1:18" x14ac:dyDescent="0.25">
      <c r="A50" s="28">
        <v>22</v>
      </c>
      <c r="B50" s="63" t="s">
        <v>57</v>
      </c>
      <c r="C50" s="63"/>
      <c r="D50" s="63"/>
      <c r="E50" s="63"/>
      <c r="F50" s="64"/>
      <c r="G50" s="9"/>
      <c r="H50" s="46"/>
      <c r="I50" s="47"/>
      <c r="J50" s="55"/>
    </row>
    <row r="51" spans="1:18" ht="45" customHeight="1" x14ac:dyDescent="0.25">
      <c r="A51" s="28"/>
      <c r="B51" s="42" t="s">
        <v>70</v>
      </c>
      <c r="E51" s="85"/>
      <c r="F51" s="97"/>
      <c r="G51" s="43" t="s">
        <v>94</v>
      </c>
      <c r="H51" s="44">
        <v>0</v>
      </c>
      <c r="I51" s="45">
        <f t="shared" ref="I51:I57" si="3">IF(G51="T",H51*0.08,0)</f>
        <v>0</v>
      </c>
      <c r="J51" s="56">
        <f t="shared" ref="J51:J52" si="4">+H51+I51</f>
        <v>0</v>
      </c>
    </row>
    <row r="52" spans="1:18" ht="44.25" customHeight="1" x14ac:dyDescent="0.25">
      <c r="A52" s="28"/>
      <c r="B52" s="42" t="s">
        <v>71</v>
      </c>
      <c r="E52" s="85"/>
      <c r="F52" s="97"/>
      <c r="G52" s="43" t="s">
        <v>94</v>
      </c>
      <c r="H52" s="44">
        <v>0</v>
      </c>
      <c r="I52" s="45">
        <f t="shared" si="3"/>
        <v>0</v>
      </c>
      <c r="J52" s="56">
        <f t="shared" si="4"/>
        <v>0</v>
      </c>
      <c r="O52" t="s">
        <v>72</v>
      </c>
      <c r="R52" t="s">
        <v>72</v>
      </c>
    </row>
    <row r="53" spans="1:18" x14ac:dyDescent="0.25">
      <c r="A53" s="28">
        <v>23</v>
      </c>
      <c r="B53" s="63" t="s">
        <v>58</v>
      </c>
      <c r="C53" s="63"/>
      <c r="D53" s="63"/>
      <c r="E53" s="63"/>
      <c r="F53" s="64"/>
      <c r="G53" s="43" t="s">
        <v>94</v>
      </c>
      <c r="H53" s="44">
        <v>0</v>
      </c>
      <c r="I53" s="7">
        <f t="shared" si="3"/>
        <v>0</v>
      </c>
      <c r="J53" s="56">
        <f t="shared" ref="J53:J55" si="5">+H53+I53</f>
        <v>0</v>
      </c>
    </row>
    <row r="54" spans="1:18" x14ac:dyDescent="0.25">
      <c r="A54" s="28">
        <v>24</v>
      </c>
      <c r="B54" s="63" t="s">
        <v>59</v>
      </c>
      <c r="C54" s="63"/>
      <c r="D54" s="63"/>
      <c r="E54" s="63"/>
      <c r="F54" s="64"/>
      <c r="G54" s="43" t="s">
        <v>94</v>
      </c>
      <c r="H54" s="44">
        <v>0</v>
      </c>
      <c r="I54" s="7">
        <f t="shared" si="3"/>
        <v>0</v>
      </c>
      <c r="J54" s="56">
        <f t="shared" si="5"/>
        <v>0</v>
      </c>
      <c r="O54" t="s">
        <v>62</v>
      </c>
      <c r="R54" t="s">
        <v>73</v>
      </c>
    </row>
    <row r="55" spans="1:18" x14ac:dyDescent="0.25">
      <c r="A55" s="28">
        <v>25</v>
      </c>
      <c r="B55" s="63" t="s">
        <v>60</v>
      </c>
      <c r="C55" s="63"/>
      <c r="D55" s="63"/>
      <c r="E55" s="63"/>
      <c r="F55" s="64"/>
      <c r="G55" s="43" t="s">
        <v>94</v>
      </c>
      <c r="H55" s="44">
        <v>0</v>
      </c>
      <c r="I55" s="7">
        <f t="shared" si="3"/>
        <v>0</v>
      </c>
      <c r="J55" s="56">
        <f t="shared" si="5"/>
        <v>0</v>
      </c>
      <c r="O55" t="s">
        <v>27</v>
      </c>
      <c r="R55" t="s">
        <v>74</v>
      </c>
    </row>
    <row r="56" spans="1:18" x14ac:dyDescent="0.25">
      <c r="A56" s="28">
        <v>26</v>
      </c>
      <c r="B56" s="63" t="s">
        <v>82</v>
      </c>
      <c r="C56" s="63"/>
      <c r="D56" s="63"/>
      <c r="E56" s="63"/>
      <c r="F56" s="64"/>
      <c r="G56" s="43" t="s">
        <v>94</v>
      </c>
      <c r="H56" s="44">
        <v>0</v>
      </c>
      <c r="I56" s="7">
        <f t="shared" si="3"/>
        <v>0</v>
      </c>
      <c r="J56" s="56">
        <f t="shared" ref="J56:J57" si="6">+H56+I56</f>
        <v>0</v>
      </c>
      <c r="O56" t="s">
        <v>63</v>
      </c>
      <c r="R56" t="s">
        <v>75</v>
      </c>
    </row>
    <row r="57" spans="1:18" x14ac:dyDescent="0.25">
      <c r="A57" s="28">
        <v>27</v>
      </c>
      <c r="B57" s="63" t="s">
        <v>69</v>
      </c>
      <c r="C57" s="63"/>
      <c r="D57" s="63"/>
      <c r="E57" s="63"/>
      <c r="F57" s="64"/>
      <c r="G57" s="43" t="s">
        <v>94</v>
      </c>
      <c r="H57" s="44">
        <v>0</v>
      </c>
      <c r="I57" s="7">
        <f t="shared" si="3"/>
        <v>0</v>
      </c>
      <c r="J57" s="56">
        <f t="shared" si="6"/>
        <v>0</v>
      </c>
      <c r="O57" t="s">
        <v>64</v>
      </c>
      <c r="R57" t="s">
        <v>76</v>
      </c>
    </row>
    <row r="58" spans="1:18" x14ac:dyDescent="0.25">
      <c r="A58" s="28">
        <v>28</v>
      </c>
      <c r="B58" s="63" t="s">
        <v>61</v>
      </c>
      <c r="C58" s="63"/>
      <c r="D58" s="63"/>
      <c r="E58" s="63"/>
      <c r="F58" s="64"/>
      <c r="G58" s="9"/>
      <c r="H58" s="46"/>
      <c r="I58" s="47"/>
      <c r="J58" s="55"/>
      <c r="O58" t="s">
        <v>65</v>
      </c>
    </row>
    <row r="59" spans="1:18" x14ac:dyDescent="0.25">
      <c r="A59" s="28"/>
      <c r="B59" s="21"/>
      <c r="C59" s="95"/>
      <c r="D59" s="95"/>
      <c r="E59" s="95"/>
      <c r="F59" s="96"/>
      <c r="G59" s="9" t="s">
        <v>94</v>
      </c>
      <c r="H59" s="11">
        <v>0</v>
      </c>
      <c r="I59" s="7">
        <f>IF(G59="T",H59*0.08,0)</f>
        <v>0</v>
      </c>
      <c r="J59" s="3">
        <f t="shared" ref="J59" si="7">+H59+I59</f>
        <v>0</v>
      </c>
      <c r="O59" t="s">
        <v>66</v>
      </c>
    </row>
    <row r="60" spans="1:18" x14ac:dyDescent="0.25">
      <c r="A60" s="29">
        <v>29</v>
      </c>
      <c r="B60" t="s">
        <v>83</v>
      </c>
      <c r="F60" s="30"/>
      <c r="G60" s="9" t="s">
        <v>94</v>
      </c>
      <c r="H60" s="11">
        <v>0</v>
      </c>
      <c r="I60" s="7">
        <f>IF(G60="T",H60*0.08,0)</f>
        <v>0</v>
      </c>
      <c r="J60" s="3">
        <f t="shared" ref="J60" si="8">+H60+I60</f>
        <v>0</v>
      </c>
      <c r="O60" t="s">
        <v>67</v>
      </c>
    </row>
    <row r="61" spans="1:18" x14ac:dyDescent="0.25">
      <c r="A61" s="31"/>
      <c r="B61" s="92" t="s">
        <v>25</v>
      </c>
      <c r="C61" s="93"/>
      <c r="D61" s="93"/>
      <c r="E61" s="93"/>
      <c r="F61" s="93"/>
      <c r="G61" s="94"/>
      <c r="H61" s="4">
        <f>SUM(H29:H60)</f>
        <v>0</v>
      </c>
      <c r="I61" s="4">
        <f>SUM(I29:I60)</f>
        <v>0</v>
      </c>
      <c r="J61" s="4">
        <f>SUM(J29:J60)</f>
        <v>0</v>
      </c>
      <c r="O61" t="s">
        <v>68</v>
      </c>
    </row>
    <row r="62" spans="1:18" x14ac:dyDescent="0.25">
      <c r="A62" s="33"/>
      <c r="B62" s="21"/>
      <c r="C62" s="21"/>
      <c r="D62" s="21"/>
      <c r="E62" s="21"/>
      <c r="F62" s="21"/>
      <c r="G62" s="20"/>
      <c r="H62" s="6"/>
      <c r="I62" s="6"/>
      <c r="J62" s="6"/>
      <c r="O62" t="s">
        <v>69</v>
      </c>
    </row>
    <row r="63" spans="1:18" ht="30" x14ac:dyDescent="0.25">
      <c r="A63" s="23" t="s">
        <v>4</v>
      </c>
      <c r="B63" s="24" t="s">
        <v>5</v>
      </c>
      <c r="C63" s="25"/>
      <c r="D63" s="25"/>
      <c r="E63" s="25"/>
      <c r="F63" s="26"/>
      <c r="G63" s="27" t="s">
        <v>6</v>
      </c>
      <c r="H63" s="27" t="s">
        <v>95</v>
      </c>
      <c r="I63" s="34" t="s">
        <v>112</v>
      </c>
      <c r="J63" s="27" t="s">
        <v>96</v>
      </c>
      <c r="O63" t="s">
        <v>21</v>
      </c>
    </row>
    <row r="64" spans="1:18" x14ac:dyDescent="0.25">
      <c r="A64" s="31"/>
      <c r="B64" s="89" t="s">
        <v>114</v>
      </c>
      <c r="C64" s="89"/>
      <c r="D64" s="89"/>
      <c r="E64" s="89"/>
      <c r="F64" s="89"/>
      <c r="G64" s="89"/>
      <c r="H64" s="89"/>
      <c r="I64" s="89"/>
      <c r="J64" s="89"/>
    </row>
    <row r="65" spans="1:13" x14ac:dyDescent="0.25">
      <c r="A65" s="32">
        <v>1</v>
      </c>
      <c r="B65" s="90" t="s">
        <v>77</v>
      </c>
      <c r="C65" s="90"/>
      <c r="D65" s="90"/>
      <c r="E65" s="90"/>
      <c r="F65" s="91"/>
      <c r="G65" s="52" t="s">
        <v>94</v>
      </c>
      <c r="H65" s="15">
        <v>0</v>
      </c>
      <c r="I65" s="53">
        <f t="shared" ref="I65:I70" si="9">IF(G65="T",H65*0.08,0)</f>
        <v>0</v>
      </c>
      <c r="J65" s="5">
        <f t="shared" ref="J65:J69" si="10">+H65+I65</f>
        <v>0</v>
      </c>
    </row>
    <row r="66" spans="1:13" x14ac:dyDescent="0.25">
      <c r="A66" s="32">
        <v>2</v>
      </c>
      <c r="B66" s="63" t="s">
        <v>29</v>
      </c>
      <c r="C66" s="63"/>
      <c r="D66" s="63"/>
      <c r="E66" s="63"/>
      <c r="F66" s="64"/>
      <c r="G66" s="50" t="s">
        <v>94</v>
      </c>
      <c r="H66" s="12">
        <v>0</v>
      </c>
      <c r="I66" s="6">
        <f t="shared" si="9"/>
        <v>0</v>
      </c>
      <c r="J66" s="7">
        <f t="shared" ref="J66" si="11">+H66+I66</f>
        <v>0</v>
      </c>
    </row>
    <row r="67" spans="1:13" x14ac:dyDescent="0.25">
      <c r="A67" s="32">
        <v>3</v>
      </c>
      <c r="B67" s="63" t="s">
        <v>30</v>
      </c>
      <c r="C67" s="63"/>
      <c r="D67" s="63"/>
      <c r="E67" s="63"/>
      <c r="F67" s="64"/>
      <c r="G67" s="50" t="s">
        <v>94</v>
      </c>
      <c r="H67" s="12">
        <v>0</v>
      </c>
      <c r="I67" s="6">
        <f t="shared" si="9"/>
        <v>0</v>
      </c>
      <c r="J67" s="7">
        <f t="shared" si="10"/>
        <v>0</v>
      </c>
    </row>
    <row r="68" spans="1:13" x14ac:dyDescent="0.25">
      <c r="A68" s="32">
        <v>4</v>
      </c>
      <c r="B68" s="63" t="s">
        <v>31</v>
      </c>
      <c r="C68" s="63"/>
      <c r="D68" s="63"/>
      <c r="E68" s="63"/>
      <c r="F68" s="64"/>
      <c r="G68" s="50" t="s">
        <v>94</v>
      </c>
      <c r="H68" s="12">
        <v>0</v>
      </c>
      <c r="I68" s="6">
        <f t="shared" si="9"/>
        <v>0</v>
      </c>
      <c r="J68" s="7">
        <f t="shared" si="10"/>
        <v>0</v>
      </c>
    </row>
    <row r="69" spans="1:13" x14ac:dyDescent="0.25">
      <c r="A69" s="32">
        <v>5</v>
      </c>
      <c r="B69" s="63" t="s">
        <v>28</v>
      </c>
      <c r="C69" s="63"/>
      <c r="D69" s="63"/>
      <c r="E69" s="63"/>
      <c r="F69" s="64"/>
      <c r="G69" s="50" t="s">
        <v>94</v>
      </c>
      <c r="H69" s="12">
        <v>0</v>
      </c>
      <c r="I69" s="6">
        <f t="shared" si="9"/>
        <v>0</v>
      </c>
      <c r="J69" s="7">
        <f t="shared" si="10"/>
        <v>0</v>
      </c>
    </row>
    <row r="70" spans="1:13" x14ac:dyDescent="0.25">
      <c r="A70" s="32">
        <v>6</v>
      </c>
      <c r="B70" s="48" t="s">
        <v>113</v>
      </c>
      <c r="C70" s="48"/>
      <c r="D70" s="48"/>
      <c r="E70" s="48"/>
      <c r="F70" s="49"/>
      <c r="G70" s="51" t="s">
        <v>94</v>
      </c>
      <c r="H70" s="13">
        <v>0</v>
      </c>
      <c r="I70" s="8">
        <f t="shared" si="9"/>
        <v>0</v>
      </c>
      <c r="J70" s="8">
        <f>+H70+I70</f>
        <v>0</v>
      </c>
    </row>
    <row r="71" spans="1:13" x14ac:dyDescent="0.25">
      <c r="A71" s="29"/>
      <c r="B71" s="87" t="s">
        <v>115</v>
      </c>
      <c r="C71" s="87"/>
      <c r="D71" s="87"/>
      <c r="E71" s="87"/>
      <c r="F71" s="87"/>
      <c r="G71" s="88"/>
      <c r="H71" s="8">
        <f>SUM(H65:H70)</f>
        <v>0</v>
      </c>
      <c r="I71" s="8">
        <f>SUM(I65:I70)</f>
        <v>0</v>
      </c>
      <c r="J71" s="8">
        <f>SUM(J65:J70)</f>
        <v>0</v>
      </c>
    </row>
    <row r="72" spans="1:13" ht="11.1" customHeight="1" x14ac:dyDescent="0.25">
      <c r="A72" s="81"/>
      <c r="B72" s="81"/>
      <c r="C72" s="81"/>
      <c r="D72" s="81"/>
      <c r="E72" s="81"/>
      <c r="F72" s="81"/>
      <c r="G72" s="81"/>
      <c r="H72" s="81"/>
      <c r="I72" s="81"/>
      <c r="J72" s="81"/>
    </row>
    <row r="73" spans="1:13" x14ac:dyDescent="0.25">
      <c r="A73" s="86" t="s">
        <v>9</v>
      </c>
      <c r="B73" s="86"/>
      <c r="C73" s="86"/>
      <c r="D73" s="86"/>
      <c r="E73" s="86"/>
      <c r="F73" s="86"/>
      <c r="G73" s="86"/>
      <c r="H73" s="35">
        <f>+H71+H61</f>
        <v>0</v>
      </c>
      <c r="I73" s="35">
        <f>+I71+I61</f>
        <v>0</v>
      </c>
      <c r="J73" s="35">
        <f>+J71+J61</f>
        <v>0</v>
      </c>
    </row>
    <row r="74" spans="1:13" x14ac:dyDescent="0.25">
      <c r="H74" s="86" t="s">
        <v>10</v>
      </c>
      <c r="I74" s="86"/>
      <c r="J74" s="14">
        <v>0</v>
      </c>
      <c r="M74" s="36"/>
    </row>
    <row r="75" spans="1:13" x14ac:dyDescent="0.25">
      <c r="H75" s="78" t="s">
        <v>97</v>
      </c>
      <c r="I75" s="79"/>
      <c r="J75" s="37">
        <f>+J73+J74</f>
        <v>0</v>
      </c>
    </row>
    <row r="76" spans="1:13" ht="11.1" customHeight="1" x14ac:dyDescent="0.25"/>
    <row r="77" spans="1:13" x14ac:dyDescent="0.25">
      <c r="A77" t="s">
        <v>11</v>
      </c>
    </row>
    <row r="78" spans="1:13" x14ac:dyDescent="0.25">
      <c r="A78" t="s">
        <v>12</v>
      </c>
      <c r="G78" s="62" t="s">
        <v>99</v>
      </c>
    </row>
    <row r="79" spans="1:13" x14ac:dyDescent="0.25">
      <c r="G79" s="33" t="s">
        <v>100</v>
      </c>
      <c r="H79" t="s">
        <v>105</v>
      </c>
    </row>
    <row r="80" spans="1:13" x14ac:dyDescent="0.25">
      <c r="A80" t="s">
        <v>13</v>
      </c>
      <c r="G80" s="33" t="s">
        <v>101</v>
      </c>
      <c r="H80" t="s">
        <v>106</v>
      </c>
    </row>
    <row r="81" spans="1:8" x14ac:dyDescent="0.25">
      <c r="A81" s="1" t="s">
        <v>14</v>
      </c>
      <c r="G81" s="33" t="s">
        <v>102</v>
      </c>
      <c r="H81" t="s">
        <v>107</v>
      </c>
    </row>
    <row r="82" spans="1:8" x14ac:dyDescent="0.25">
      <c r="G82" s="33" t="s">
        <v>103</v>
      </c>
      <c r="H82" s="61" t="s">
        <v>108</v>
      </c>
    </row>
    <row r="83" spans="1:8" x14ac:dyDescent="0.25">
      <c r="G83" s="33" t="s">
        <v>104</v>
      </c>
      <c r="H83" t="s">
        <v>109</v>
      </c>
    </row>
    <row r="84" spans="1:8" x14ac:dyDescent="0.25">
      <c r="H84" t="s">
        <v>107</v>
      </c>
    </row>
    <row r="85" spans="1:8" x14ac:dyDescent="0.25">
      <c r="A85" s="2" t="s">
        <v>15</v>
      </c>
      <c r="H85" t="s">
        <v>110</v>
      </c>
    </row>
    <row r="86" spans="1:8" x14ac:dyDescent="0.25">
      <c r="A86" s="2" t="s">
        <v>35</v>
      </c>
      <c r="H86" t="s">
        <v>111</v>
      </c>
    </row>
  </sheetData>
  <sheetProtection algorithmName="SHA-512" hashValue="Ze+z0GFRN+/2K/ChWFvKo7Q8bfBOKUVAJmJlFpqdk1+oWEequ9MgaeUeasVyA9ZzD6vZuw8ZoGvaWtwNcPbzXA==" saltValue="G9EpEfrFWuOxFKu5AO7zgQ==" spinCount="100000" sheet="1" objects="1" scenarios="1" selectLockedCells="1"/>
  <mergeCells count="59">
    <mergeCell ref="B46:F46"/>
    <mergeCell ref="L35:P35"/>
    <mergeCell ref="B42:F42"/>
    <mergeCell ref="B58:F58"/>
    <mergeCell ref="B35:F35"/>
    <mergeCell ref="B36:F36"/>
    <mergeCell ref="B41:F41"/>
    <mergeCell ref="B37:F37"/>
    <mergeCell ref="B38:F38"/>
    <mergeCell ref="B39:F39"/>
    <mergeCell ref="E51:F51"/>
    <mergeCell ref="E52:F52"/>
    <mergeCell ref="B50:F50"/>
    <mergeCell ref="B56:F56"/>
    <mergeCell ref="B55:F55"/>
    <mergeCell ref="B43:F43"/>
    <mergeCell ref="B48:F48"/>
    <mergeCell ref="H74:I74"/>
    <mergeCell ref="B64:J64"/>
    <mergeCell ref="B65:F65"/>
    <mergeCell ref="B67:F67"/>
    <mergeCell ref="B61:G61"/>
    <mergeCell ref="B69:F69"/>
    <mergeCell ref="B68:F68"/>
    <mergeCell ref="B57:F57"/>
    <mergeCell ref="C59:F59"/>
    <mergeCell ref="B66:F66"/>
    <mergeCell ref="H75:I75"/>
    <mergeCell ref="E9:F9"/>
    <mergeCell ref="A72:J72"/>
    <mergeCell ref="B25:J25"/>
    <mergeCell ref="C18:F18"/>
    <mergeCell ref="C11:F14"/>
    <mergeCell ref="C15:J17"/>
    <mergeCell ref="B53:F53"/>
    <mergeCell ref="B54:F54"/>
    <mergeCell ref="A73:G73"/>
    <mergeCell ref="B29:F29"/>
    <mergeCell ref="B71:G71"/>
    <mergeCell ref="B30:F30"/>
    <mergeCell ref="B32:F32"/>
    <mergeCell ref="B33:F33"/>
    <mergeCell ref="B47:F47"/>
    <mergeCell ref="B45:F45"/>
    <mergeCell ref="B34:F34"/>
    <mergeCell ref="C19:F19"/>
    <mergeCell ref="A1:J1"/>
    <mergeCell ref="A6:J6"/>
    <mergeCell ref="A8:J8"/>
    <mergeCell ref="A5:J5"/>
    <mergeCell ref="A4:J4"/>
    <mergeCell ref="A3:J3"/>
    <mergeCell ref="A2:J2"/>
    <mergeCell ref="A7:J7"/>
    <mergeCell ref="C20:F22"/>
    <mergeCell ref="B26:J28"/>
    <mergeCell ref="B31:F31"/>
    <mergeCell ref="B40:F40"/>
    <mergeCell ref="B44:F44"/>
  </mergeCells>
  <conditionalFormatting sqref="C59">
    <cfRule type="containsText" dxfId="3" priority="4" operator="containsText" text="Please select">
      <formula>NOT(ISERROR(SEARCH("Please select",C59)))</formula>
    </cfRule>
  </conditionalFormatting>
  <conditionalFormatting sqref="E51:F52">
    <cfRule type="containsText" dxfId="2" priority="5" operator="containsText" text="Please select">
      <formula>NOT(ISERROR(SEARCH("Please select",E51)))</formula>
    </cfRule>
  </conditionalFormatting>
  <conditionalFormatting sqref="J12:J13">
    <cfRule type="expression" dxfId="1" priority="3">
      <formula>$E$9="Tax Invoice"</formula>
    </cfRule>
  </conditionalFormatting>
  <conditionalFormatting sqref="L12:L13">
    <cfRule type="expression" dxfId="0" priority="1">
      <formula>$E$9="Tax Invoice"</formula>
    </cfRule>
  </conditionalFormatting>
  <dataValidations count="2">
    <dataValidation type="list" allowBlank="1" showInputMessage="1" showErrorMessage="1" sqref="C59:F59" xr:uid="{00000000-0002-0000-0000-000001000000}">
      <formula1>$R$52:$R$57</formula1>
    </dataValidation>
    <dataValidation type="list" allowBlank="1" showInputMessage="1" showErrorMessage="1" sqref="E51:F52" xr:uid="{00000000-0002-0000-0000-000000000000}">
      <formula1>$O$52:$O$63</formula1>
    </dataValidation>
  </dataValidations>
  <printOptions horizontalCentered="1"/>
  <pageMargins left="0.59055118110236227" right="0.70866141732283472" top="0.31496062992125984" bottom="0.15748031496062992" header="0.31496062992125984" footer="0.15748031496062992"/>
  <pageSetup paperSize="9" scale="70" fitToWidth="2" orientation="portrait" r:id="rId1"/>
  <headerFooter>
    <oddFooter>&amp;RPage &amp;P</oddFooter>
  </headerFooter>
  <rowBreaks count="1" manualBreakCount="1">
    <brk id="61" max="9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224"/>
  <sheetViews>
    <sheetView view="pageBreakPreview" topLeftCell="A42" zoomScaleNormal="100" zoomScaleSheetLayoutView="100" workbookViewId="0">
      <selection activeCell="D18" sqref="D18"/>
    </sheetView>
  </sheetViews>
  <sheetFormatPr defaultRowHeight="15" x14ac:dyDescent="0.25"/>
  <cols>
    <col min="1" max="2" width="10.7109375" customWidth="1"/>
    <col min="3" max="8" width="9.7109375" customWidth="1"/>
    <col min="9" max="10" width="10.7109375" customWidth="1"/>
  </cols>
  <sheetData>
    <row r="1" spans="1:12" ht="18.75" x14ac:dyDescent="0.3">
      <c r="A1" s="66" t="s">
        <v>36</v>
      </c>
      <c r="B1" s="66"/>
      <c r="C1" s="66"/>
      <c r="D1" s="66"/>
      <c r="E1" s="66"/>
      <c r="F1" s="66"/>
      <c r="G1" s="66"/>
      <c r="H1" s="66"/>
      <c r="I1" s="66"/>
      <c r="J1" s="66"/>
      <c r="L1" s="16"/>
    </row>
    <row r="2" spans="1:12" ht="15.75" x14ac:dyDescent="0.25">
      <c r="A2" s="68" t="s">
        <v>37</v>
      </c>
      <c r="B2" s="68"/>
      <c r="C2" s="68"/>
      <c r="D2" s="68"/>
      <c r="E2" s="68"/>
      <c r="F2" s="68"/>
      <c r="G2" s="68"/>
      <c r="H2" s="68"/>
      <c r="I2" s="68"/>
      <c r="J2" s="68"/>
      <c r="L2" s="16"/>
    </row>
    <row r="3" spans="1:12" x14ac:dyDescent="0.25">
      <c r="A3" s="67" t="s">
        <v>16</v>
      </c>
      <c r="B3" s="67"/>
      <c r="C3" s="67"/>
      <c r="D3" s="67"/>
      <c r="E3" s="67"/>
      <c r="F3" s="67"/>
      <c r="G3" s="67"/>
      <c r="H3" s="67"/>
      <c r="I3" s="67"/>
      <c r="J3" s="67"/>
      <c r="L3" s="16"/>
    </row>
    <row r="4" spans="1:12" x14ac:dyDescent="0.25">
      <c r="A4" s="67" t="str">
        <f>Sheet1!A4</f>
        <v>UNIT 1519, 15TH FLOOR, LOBBY 6, BLOCK A, JALAN SS20/27, DAMANSARA INTAN, 47300 PETALING JAYA, SELANGOR</v>
      </c>
      <c r="B4" s="67"/>
      <c r="C4" s="67"/>
      <c r="D4" s="67"/>
      <c r="E4" s="67"/>
      <c r="F4" s="67"/>
      <c r="G4" s="67"/>
      <c r="H4" s="67"/>
      <c r="I4" s="67"/>
      <c r="J4" s="67"/>
      <c r="L4" s="16"/>
    </row>
    <row r="5" spans="1:12" x14ac:dyDescent="0.25">
      <c r="A5" s="67" t="str">
        <f>Sheet1!A5</f>
        <v>Tel: 03-77225746/77259175</v>
      </c>
      <c r="B5" s="67"/>
      <c r="C5" s="67"/>
      <c r="D5" s="67"/>
      <c r="E5" s="67"/>
      <c r="F5" s="67"/>
      <c r="G5" s="67"/>
      <c r="H5" s="67"/>
      <c r="I5" s="67"/>
      <c r="J5" s="67"/>
      <c r="L5" s="16"/>
    </row>
    <row r="6" spans="1:12" x14ac:dyDescent="0.25">
      <c r="A6" s="67" t="s">
        <v>17</v>
      </c>
      <c r="B6" s="67"/>
      <c r="C6" s="67"/>
      <c r="D6" s="67"/>
      <c r="E6" s="67"/>
      <c r="F6" s="67"/>
      <c r="G6" s="67"/>
      <c r="H6" s="67"/>
      <c r="I6" s="67"/>
      <c r="J6" s="67"/>
      <c r="L6" s="16"/>
    </row>
    <row r="7" spans="1:12" x14ac:dyDescent="0.25">
      <c r="A7" s="67" t="s">
        <v>90</v>
      </c>
      <c r="B7" s="67"/>
      <c r="C7" s="67"/>
      <c r="D7" s="67"/>
      <c r="E7" s="67"/>
      <c r="F7" s="67"/>
      <c r="G7" s="67"/>
      <c r="H7" s="67"/>
      <c r="I7" s="67"/>
      <c r="J7" s="67"/>
      <c r="L7" s="16"/>
    </row>
    <row r="8" spans="1:12" ht="11.1" customHeight="1" x14ac:dyDescent="0.25">
      <c r="A8" s="67"/>
      <c r="B8" s="67"/>
      <c r="C8" s="67"/>
      <c r="D8" s="67"/>
      <c r="E8" s="67"/>
      <c r="F8" s="67"/>
      <c r="G8" s="67"/>
      <c r="H8" s="67"/>
      <c r="I8" s="67"/>
      <c r="J8" s="67"/>
      <c r="L8" s="16"/>
    </row>
    <row r="9" spans="1:12" ht="18.75" x14ac:dyDescent="0.25">
      <c r="E9" s="80" t="s">
        <v>38</v>
      </c>
      <c r="F9" s="80"/>
      <c r="H9" t="s">
        <v>92</v>
      </c>
      <c r="J9" s="17" t="s">
        <v>93</v>
      </c>
    </row>
    <row r="11" spans="1:12" s="57" customFormat="1" ht="18.75" x14ac:dyDescent="0.3">
      <c r="A11" s="98" t="s">
        <v>84</v>
      </c>
      <c r="B11" s="98"/>
      <c r="C11" s="98"/>
      <c r="D11" s="98"/>
      <c r="E11" s="98"/>
      <c r="F11" s="98"/>
      <c r="G11" s="98"/>
      <c r="H11" s="98"/>
      <c r="I11" s="98"/>
      <c r="J11" s="98"/>
    </row>
    <row r="13" spans="1:12" x14ac:dyDescent="0.25">
      <c r="A13" s="60"/>
      <c r="H13" s="60" t="s">
        <v>85</v>
      </c>
    </row>
    <row r="14" spans="1:12" s="18" customFormat="1" x14ac:dyDescent="0.25">
      <c r="H14" s="58"/>
    </row>
    <row r="15" spans="1:12" s="18" customFormat="1" x14ac:dyDescent="0.25">
      <c r="A15" s="18">
        <v>1</v>
      </c>
      <c r="B15" s="18" t="s">
        <v>87</v>
      </c>
      <c r="H15" s="58">
        <v>2000</v>
      </c>
    </row>
    <row r="16" spans="1:12" s="18" customFormat="1" x14ac:dyDescent="0.25">
      <c r="A16" s="18">
        <v>2</v>
      </c>
      <c r="B16" s="18" t="s">
        <v>88</v>
      </c>
      <c r="H16" s="58">
        <v>2000</v>
      </c>
    </row>
    <row r="17" spans="1:8" s="18" customFormat="1" x14ac:dyDescent="0.25">
      <c r="A17" s="18">
        <v>3</v>
      </c>
      <c r="B17" s="18" t="s">
        <v>89</v>
      </c>
      <c r="H17" s="58">
        <v>3000</v>
      </c>
    </row>
    <row r="18" spans="1:8" s="18" customFormat="1" x14ac:dyDescent="0.25">
      <c r="H18" s="58"/>
    </row>
    <row r="19" spans="1:8" s="18" customFormat="1" x14ac:dyDescent="0.25">
      <c r="H19" s="58"/>
    </row>
    <row r="20" spans="1:8" s="18" customFormat="1" x14ac:dyDescent="0.25">
      <c r="H20" s="58"/>
    </row>
    <row r="21" spans="1:8" s="18" customFormat="1" x14ac:dyDescent="0.25">
      <c r="H21" s="58"/>
    </row>
    <row r="22" spans="1:8" s="18" customFormat="1" x14ac:dyDescent="0.25">
      <c r="H22" s="58"/>
    </row>
    <row r="23" spans="1:8" s="18" customFormat="1" x14ac:dyDescent="0.25">
      <c r="H23" s="58"/>
    </row>
    <row r="24" spans="1:8" s="18" customFormat="1" x14ac:dyDescent="0.25">
      <c r="H24" s="58"/>
    </row>
    <row r="25" spans="1:8" s="18" customFormat="1" x14ac:dyDescent="0.25">
      <c r="H25" s="58"/>
    </row>
    <row r="26" spans="1:8" s="18" customFormat="1" x14ac:dyDescent="0.25">
      <c r="H26" s="58"/>
    </row>
    <row r="27" spans="1:8" s="18" customFormat="1" x14ac:dyDescent="0.25">
      <c r="H27" s="58"/>
    </row>
    <row r="28" spans="1:8" s="18" customFormat="1" x14ac:dyDescent="0.25">
      <c r="H28" s="58"/>
    </row>
    <row r="29" spans="1:8" s="18" customFormat="1" x14ac:dyDescent="0.25">
      <c r="H29" s="58"/>
    </row>
    <row r="30" spans="1:8" s="18" customFormat="1" x14ac:dyDescent="0.25">
      <c r="H30" s="58"/>
    </row>
    <row r="31" spans="1:8" s="18" customFormat="1" x14ac:dyDescent="0.25">
      <c r="H31" s="58"/>
    </row>
    <row r="32" spans="1:8" s="18" customFormat="1" x14ac:dyDescent="0.25">
      <c r="H32" s="58"/>
    </row>
    <row r="33" spans="8:8" s="18" customFormat="1" x14ac:dyDescent="0.25">
      <c r="H33" s="58"/>
    </row>
    <row r="34" spans="8:8" s="18" customFormat="1" x14ac:dyDescent="0.25">
      <c r="H34" s="58"/>
    </row>
    <row r="35" spans="8:8" s="18" customFormat="1" x14ac:dyDescent="0.25">
      <c r="H35" s="58"/>
    </row>
    <row r="36" spans="8:8" s="18" customFormat="1" x14ac:dyDescent="0.25">
      <c r="H36" s="58"/>
    </row>
    <row r="37" spans="8:8" s="18" customFormat="1" x14ac:dyDescent="0.25">
      <c r="H37" s="58"/>
    </row>
    <row r="38" spans="8:8" s="18" customFormat="1" x14ac:dyDescent="0.25">
      <c r="H38" s="58"/>
    </row>
    <row r="39" spans="8:8" s="18" customFormat="1" x14ac:dyDescent="0.25">
      <c r="H39" s="58"/>
    </row>
    <row r="40" spans="8:8" s="18" customFormat="1" x14ac:dyDescent="0.25">
      <c r="H40" s="58"/>
    </row>
    <row r="41" spans="8:8" s="18" customFormat="1" x14ac:dyDescent="0.25">
      <c r="H41" s="58"/>
    </row>
    <row r="42" spans="8:8" s="18" customFormat="1" x14ac:dyDescent="0.25">
      <c r="H42" s="58"/>
    </row>
    <row r="43" spans="8:8" s="18" customFormat="1" x14ac:dyDescent="0.25">
      <c r="H43" s="58"/>
    </row>
    <row r="44" spans="8:8" s="18" customFormat="1" x14ac:dyDescent="0.25">
      <c r="H44" s="58"/>
    </row>
    <row r="45" spans="8:8" s="18" customFormat="1" x14ac:dyDescent="0.25">
      <c r="H45" s="58"/>
    </row>
    <row r="46" spans="8:8" s="18" customFormat="1" x14ac:dyDescent="0.25">
      <c r="H46" s="58"/>
    </row>
    <row r="47" spans="8:8" s="18" customFormat="1" x14ac:dyDescent="0.25">
      <c r="H47" s="58"/>
    </row>
    <row r="48" spans="8:8" s="18" customFormat="1" x14ac:dyDescent="0.25">
      <c r="H48" s="58"/>
    </row>
    <row r="49" spans="2:8" s="18" customFormat="1" x14ac:dyDescent="0.25">
      <c r="H49" s="58"/>
    </row>
    <row r="50" spans="2:8" s="18" customFormat="1" x14ac:dyDescent="0.25">
      <c r="B50" s="18" t="s">
        <v>86</v>
      </c>
      <c r="H50" s="59">
        <f>SUM(H14:H49)</f>
        <v>7000</v>
      </c>
    </row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</sheetData>
  <sheetProtection password="8BF2" sheet="1" objects="1" scenarios="1" selectLockedCells="1"/>
  <mergeCells count="10">
    <mergeCell ref="A11:J11"/>
    <mergeCell ref="A7:J7"/>
    <mergeCell ref="A8:J8"/>
    <mergeCell ref="E9:F9"/>
    <mergeCell ref="A1:J1"/>
    <mergeCell ref="A2:J2"/>
    <mergeCell ref="A3:J3"/>
    <mergeCell ref="A4:J4"/>
    <mergeCell ref="A5:J5"/>
    <mergeCell ref="A6:J6"/>
  </mergeCells>
  <pageMargins left="0.39370078740157483" right="0.39370078740157483" top="0.74803149606299213" bottom="0.74803149606299213" header="0.31496062992125984" footer="0.31496062992125984"/>
  <pageSetup paperSize="9" scale="9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Attm I</vt:lpstr>
      <vt:lpstr>'Attm I'!Print_Area</vt:lpstr>
      <vt:lpstr>Sheet1!Print_Area</vt:lpstr>
      <vt:lpstr>Sheet1!Print_Titles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khairinnisa new</dc:creator>
  <cp:lastModifiedBy>khairinnisa new</cp:lastModifiedBy>
  <cp:lastPrinted>2026-02-03T02:11:00Z</cp:lastPrinted>
  <dcterms:created xsi:type="dcterms:W3CDTF">2015-03-10T14:43:27Z</dcterms:created>
  <dcterms:modified xsi:type="dcterms:W3CDTF">2026-03-27T07:23:24Z</dcterms:modified>
</cp:coreProperties>
</file>