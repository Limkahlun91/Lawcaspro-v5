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.250\Server\0-HCT\SST EINVOICE 2026\"/>
    </mc:Choice>
  </mc:AlternateContent>
  <xr:revisionPtr revIDLastSave="0" documentId="8_{FA637124-2DD8-4222-86D2-124F2F4B06EF}" xr6:coauthVersionLast="47" xr6:coauthVersionMax="47" xr10:uidLastSave="{00000000-0000-0000-0000-000000000000}"/>
  <workbookProtection workbookAlgorithmName="SHA-512" workbookHashValue="xBmoPfFjsD606l5P/9EQGucehSYgF06wUQ16dghgCmfN/5te+Wuqjt/eIPzjKa1XLlU4rq0fk+Zsqnrg3qBO7w==" workbookSaltValue="gzN0aNeeO5sKRKeE14fB+w==" workbookSpinCount="100000" lockStructure="1"/>
  <bookViews>
    <workbookView xWindow="-120" yWindow="-120" windowWidth="24240" windowHeight="13140" xr2:uid="{00000000-000D-0000-FFFF-FFFF00000000}"/>
  </bookViews>
  <sheets>
    <sheet name="Sheet1" sheetId="1" r:id="rId1"/>
    <sheet name="Attm I" sheetId="3" r:id="rId2"/>
  </sheets>
  <definedNames>
    <definedName name="_xlnm.Print_Area" localSheetId="1">'Attm I'!$A$1:$J$51</definedName>
    <definedName name="_xlnm.Print_Area" localSheetId="0">Sheet1!$A$1:$J$93</definedName>
    <definedName name="_xlnm.Print_Titles" localSheetId="0">Sheet1!$1:$9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78" i="1" l="1"/>
  <c r="H80" i="1" s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4" i="1"/>
  <c r="I33" i="1"/>
  <c r="I32" i="1"/>
  <c r="I31" i="1"/>
  <c r="I30" i="1"/>
  <c r="H11" i="1"/>
  <c r="H10" i="1"/>
  <c r="A5" i="3"/>
  <c r="A4" i="3"/>
  <c r="I78" i="1" l="1"/>
  <c r="I80" i="1" s="1"/>
  <c r="H50" i="3"/>
  <c r="J55" i="1" l="1"/>
  <c r="J77" i="1" l="1"/>
  <c r="J76" i="1"/>
  <c r="J74" i="1"/>
  <c r="J67" i="1"/>
  <c r="J46" i="1"/>
  <c r="J48" i="1"/>
  <c r="J47" i="1"/>
  <c r="J38" i="1"/>
  <c r="J39" i="1"/>
  <c r="J40" i="1"/>
  <c r="J41" i="1"/>
  <c r="J42" i="1"/>
  <c r="J43" i="1"/>
  <c r="J44" i="1"/>
  <c r="J45" i="1"/>
  <c r="J34" i="1" l="1"/>
  <c r="J33" i="1"/>
  <c r="J32" i="1"/>
  <c r="J31" i="1"/>
  <c r="J53" i="1"/>
  <c r="J30" i="1" l="1"/>
  <c r="J70" i="1" l="1"/>
  <c r="J52" i="1"/>
  <c r="J51" i="1"/>
  <c r="J37" i="1"/>
  <c r="J36" i="1"/>
  <c r="J66" i="1" l="1"/>
  <c r="J63" i="1"/>
  <c r="J75" i="1" l="1"/>
  <c r="J73" i="1"/>
  <c r="J72" i="1"/>
  <c r="J71" i="1"/>
  <c r="J69" i="1"/>
  <c r="J68" i="1"/>
  <c r="J65" i="1"/>
  <c r="J64" i="1"/>
  <c r="J62" i="1"/>
  <c r="J61" i="1"/>
  <c r="J60" i="1"/>
  <c r="J59" i="1"/>
  <c r="J54" i="1"/>
  <c r="J50" i="1"/>
  <c r="J49" i="1"/>
  <c r="J78" i="1" l="1"/>
  <c r="J80" i="1" s="1"/>
  <c r="J82" i="1" s="1"/>
</calcChain>
</file>

<file path=xl/sharedStrings.xml><?xml version="1.0" encoding="utf-8"?>
<sst xmlns="http://schemas.openxmlformats.org/spreadsheetml/2006/main" count="165" uniqueCount="140">
  <si>
    <t>To:</t>
  </si>
  <si>
    <t>Our Ref:</t>
  </si>
  <si>
    <t>RE:</t>
  </si>
  <si>
    <t xml:space="preserve">No. </t>
  </si>
  <si>
    <t>Description</t>
  </si>
  <si>
    <t>Tax Code</t>
  </si>
  <si>
    <t>Standard rated</t>
  </si>
  <si>
    <t>Zero rated</t>
  </si>
  <si>
    <t>TOTAL AMOUNT DUE</t>
  </si>
  <si>
    <t>ROUNDING ADJ.</t>
  </si>
  <si>
    <t>We trust that the above are in order for your early settlement.</t>
  </si>
  <si>
    <t>Thank you.</t>
  </si>
  <si>
    <t xml:space="preserve">Yours faithfully, </t>
  </si>
  <si>
    <t>MESSRS KHAIRIN-NISA' &amp; CO.</t>
  </si>
  <si>
    <t>Please make all cheques payable to Khairin-Nisa' &amp; Co.</t>
  </si>
  <si>
    <t>ADVOCATES &amp; SOLICITORS</t>
  </si>
  <si>
    <t>Fax: 03-77253841</t>
  </si>
  <si>
    <t>NYC/CON</t>
  </si>
  <si>
    <t>XXX</t>
  </si>
  <si>
    <t>SPA</t>
  </si>
  <si>
    <t>Debenture</t>
  </si>
  <si>
    <t>Tenancy Agreement</t>
  </si>
  <si>
    <t>PA</t>
  </si>
  <si>
    <t>SEARCH</t>
  </si>
  <si>
    <t>a</t>
  </si>
  <si>
    <t>b</t>
  </si>
  <si>
    <t>c</t>
  </si>
  <si>
    <t>d</t>
  </si>
  <si>
    <t>Land Search</t>
  </si>
  <si>
    <t>Bankruptcy Search</t>
  </si>
  <si>
    <t>STAMP DUTY</t>
  </si>
  <si>
    <t>e</t>
  </si>
  <si>
    <t>f</t>
  </si>
  <si>
    <t>g</t>
  </si>
  <si>
    <t>h</t>
  </si>
  <si>
    <t>i</t>
  </si>
  <si>
    <t>j</t>
  </si>
  <si>
    <t>k</t>
  </si>
  <si>
    <t>l</t>
  </si>
  <si>
    <t>Loan Agreement/LACA/Facilities Agreement</t>
  </si>
  <si>
    <t>Letter of Offer and SD</t>
  </si>
  <si>
    <t>Property Purchase Agreement</t>
  </si>
  <si>
    <t>Supplemental Letter Offer</t>
  </si>
  <si>
    <t>REGISTRATION/ENTRY/WITHDRAWAL</t>
  </si>
  <si>
    <t xml:space="preserve">L/O             </t>
  </si>
  <si>
    <t>Discharge/Charge</t>
  </si>
  <si>
    <t>H/C</t>
  </si>
  <si>
    <t>Affirmation</t>
  </si>
  <si>
    <t>SR</t>
  </si>
  <si>
    <t>ZR</t>
  </si>
  <si>
    <t>We accept Credit Card payment (*Terms and conditions apply)</t>
  </si>
  <si>
    <t>KHAIRIN-NISA’ &amp; CO.</t>
  </si>
  <si>
    <t>凯玲，侯律师楼</t>
  </si>
  <si>
    <t>QUOTATION</t>
  </si>
  <si>
    <t>Loan Amount:</t>
  </si>
  <si>
    <t>Letter of Consent for Registration</t>
  </si>
  <si>
    <t>Registration of Statutory Declaration</t>
  </si>
  <si>
    <t>Bank:</t>
  </si>
  <si>
    <t>Bank Negara Malaysia</t>
  </si>
  <si>
    <t>Purchase Price:</t>
  </si>
  <si>
    <t>12345aaaaaaaaaaaaaaaaaaaaaaaaaaaaaaaaaaaaaaaaaaaaaaaaaaaaaaaaaaaaaaaaaaaaaaaaaaaaaaaaaaaaaaaa</t>
  </si>
  <si>
    <t>Personal Guarantee</t>
  </si>
  <si>
    <t>Corporate Guarantee</t>
  </si>
  <si>
    <t>Deed of Revocation</t>
  </si>
  <si>
    <t>Islamic Banking:</t>
  </si>
  <si>
    <t>Memorandum of Deposit</t>
  </si>
  <si>
    <t>Assignment of Rental Proceed</t>
  </si>
  <si>
    <t>1st Party Power of Attorney</t>
  </si>
  <si>
    <t>3rd Party Power of Attorney</t>
  </si>
  <si>
    <t>Letter of Consent</t>
  </si>
  <si>
    <t>Letter of Guarantee &amp; Indemnity</t>
  </si>
  <si>
    <t>Letter of Hibah 1</t>
  </si>
  <si>
    <t>Letter of Hibah 2</t>
  </si>
  <si>
    <t>Statutory Declaration</t>
  </si>
  <si>
    <t>CTC Title</t>
  </si>
  <si>
    <t>CCM Search</t>
  </si>
  <si>
    <t>Transfer (estimate)/Deed of Assignment (by way of Transfer)</t>
  </si>
  <si>
    <t>Letter of Set-Off</t>
  </si>
  <si>
    <t>m</t>
  </si>
  <si>
    <t>Withdrawal PC/LHC</t>
  </si>
  <si>
    <t>Entry PC/LHC</t>
  </si>
  <si>
    <t>Consent to Charge/Transfer</t>
  </si>
  <si>
    <t>Application consent to Charge/Transfer</t>
  </si>
  <si>
    <t>MOT Form14A/Form16F/Form16I NLC</t>
  </si>
  <si>
    <t>Vesting Order/Court Order</t>
  </si>
  <si>
    <t>Change of Name</t>
  </si>
  <si>
    <t>PA/LACA/Deed of Assignment/ Debenture/Assignment of Rental Proceed</t>
  </si>
  <si>
    <t xml:space="preserve">CCM  </t>
  </si>
  <si>
    <t>Forms 33, 34, 41, 42B, 43</t>
  </si>
  <si>
    <t xml:space="preserve">Deed of Assignment </t>
  </si>
  <si>
    <t>n</t>
  </si>
  <si>
    <t>o</t>
  </si>
  <si>
    <t>p</t>
  </si>
  <si>
    <t>Bankruptcy Search Service Charge</t>
  </si>
  <si>
    <t>loan RM200000, 
valuation RM000000000000000000000000000
RM</t>
  </si>
  <si>
    <t>Power of Attorney/Revocation of Power of Attorney</t>
  </si>
  <si>
    <t>Form I</t>
  </si>
  <si>
    <t>q</t>
  </si>
  <si>
    <t>r</t>
  </si>
  <si>
    <t>s</t>
  </si>
  <si>
    <t>Deed of Mutual Covenants</t>
  </si>
  <si>
    <t>Charge 16A (Annexure)</t>
  </si>
  <si>
    <t>Quit Rent</t>
  </si>
  <si>
    <t>Revocation of PA</t>
  </si>
  <si>
    <t>Municipal</t>
  </si>
  <si>
    <t>Assessment</t>
  </si>
  <si>
    <t>Discharge Form 16N/Deed of Receipt &amp; Reassignment</t>
  </si>
  <si>
    <t>t</t>
  </si>
  <si>
    <t>ATTACHMENT I</t>
  </si>
  <si>
    <t>RM</t>
  </si>
  <si>
    <t>TOTAL</t>
  </si>
  <si>
    <t>Sample agreement 1</t>
  </si>
  <si>
    <t>Sample agreement 2</t>
  </si>
  <si>
    <t>Sample agreement 3</t>
  </si>
  <si>
    <t>Email: khairinnisa-pj@khairinnisa.com</t>
  </si>
  <si>
    <t>UNIT 1519, 15TH FLOOR, LOBBY 6, BLOCK A, JALAN SS20/27, DAMANSARA INTAN, 47300 PETALING JAYA, SELANGOR</t>
  </si>
  <si>
    <t>ST No:</t>
  </si>
  <si>
    <t>B16-1809-32000206</t>
  </si>
  <si>
    <t>Total Excl. ST (RM)</t>
  </si>
  <si>
    <t>Total Incl. ST (RM)</t>
  </si>
  <si>
    <t>TOTAL PAYABLE INCL. ST</t>
  </si>
  <si>
    <t>Tel: 03-77225746/77259175</t>
  </si>
  <si>
    <t>Bank Account Information</t>
  </si>
  <si>
    <t>Payable to:</t>
  </si>
  <si>
    <t xml:space="preserve">Bank: </t>
  </si>
  <si>
    <t xml:space="preserve">Branch: </t>
  </si>
  <si>
    <t>Acc No:</t>
  </si>
  <si>
    <t>Address:</t>
  </si>
  <si>
    <t>Khairin-Nisa &amp; Co (Client 's A/C)</t>
  </si>
  <si>
    <t>RHB Bank Berhad</t>
  </si>
  <si>
    <t>Damansara Jaya</t>
  </si>
  <si>
    <t>21206800093580</t>
  </si>
  <si>
    <t>22 &amp; 24, Jalan SS 22/25</t>
  </si>
  <si>
    <t>47400 Petaling Jaya</t>
  </si>
  <si>
    <t>Selangor</t>
  </si>
  <si>
    <t>ST @ 8% 
(RM)</t>
  </si>
  <si>
    <t>DISBURSEMENT:</t>
  </si>
  <si>
    <t>TOTAL DISBURSEMENTS</t>
  </si>
  <si>
    <t>Being cost for payment towards our disbursement in respect to provide services rendered in connection with the above matter including attendances &amp; taking instructions, opinions &amp; advice, meetings &amp; consultation, correspondences, preparing for execution, attesting, stamping, presentation &amp; registration of:-</t>
  </si>
  <si>
    <t>Others-Refer Attachment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</si>
</sst>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RM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5">
    <xf numFmtId="0" fontId="0" fillId="0" borderId="0" xfId="0"/>
    <xf numFmtId="0" fontId="2" fillId="0" borderId="0" xfId="0" applyFont="1"/>
    <xf numFmtId="0" fontId="5" fillId="0" borderId="0" xfId="0" applyFont="1"/>
    <xf numFmtId="43" fontId="0" fillId="0" borderId="2" xfId="1" applyFont="1" applyBorder="1" applyAlignment="1">
      <alignment horizontal="right"/>
    </xf>
    <xf numFmtId="43" fontId="0" fillId="0" borderId="0" xfId="1" applyFont="1" applyBorder="1" applyAlignment="1">
      <alignment horizontal="right"/>
    </xf>
    <xf numFmtId="43" fontId="0" fillId="0" borderId="7" xfId="1" applyFont="1" applyBorder="1" applyAlignment="1">
      <alignment horizontal="right"/>
    </xf>
    <xf numFmtId="43" fontId="0" fillId="0" borderId="3" xfId="1" applyFont="1" applyBorder="1" applyAlignment="1">
      <alignment horizontal="right"/>
    </xf>
    <xf numFmtId="43" fontId="0" fillId="0" borderId="10" xfId="1" applyFont="1" applyBorder="1" applyAlignment="1">
      <alignment horizontal="right"/>
    </xf>
    <xf numFmtId="43" fontId="0" fillId="0" borderId="12" xfId="1" applyFont="1" applyBorder="1" applyAlignment="1">
      <alignment horizontal="right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3" fontId="0" fillId="0" borderId="7" xfId="1" applyFont="1" applyBorder="1" applyAlignment="1" applyProtection="1">
      <alignment horizontal="right"/>
      <protection locked="0"/>
    </xf>
    <xf numFmtId="43" fontId="0" fillId="0" borderId="3" xfId="1" applyFont="1" applyBorder="1" applyAlignment="1" applyProtection="1">
      <alignment horizontal="right"/>
      <protection locked="0"/>
    </xf>
    <xf numFmtId="43" fontId="0" fillId="0" borderId="9" xfId="1" applyFont="1" applyBorder="1" applyAlignment="1" applyProtection="1">
      <alignment horizontal="right"/>
      <protection locked="0"/>
    </xf>
    <xf numFmtId="43" fontId="0" fillId="0" borderId="0" xfId="1" applyFont="1" applyBorder="1" applyAlignment="1" applyProtection="1">
      <alignment horizontal="right"/>
      <protection locked="0"/>
    </xf>
    <xf numFmtId="43" fontId="0" fillId="0" borderId="1" xfId="1" applyFont="1" applyBorder="1" applyProtection="1">
      <protection locked="0"/>
    </xf>
    <xf numFmtId="43" fontId="0" fillId="0" borderId="2" xfId="1" applyFont="1" applyBorder="1" applyAlignment="1" applyProtection="1">
      <alignment horizontal="right"/>
      <protection locked="0"/>
    </xf>
    <xf numFmtId="0" fontId="7" fillId="0" borderId="0" xfId="0" applyFont="1" applyAlignment="1">
      <alignment horizontal="center" vertical="center"/>
    </xf>
    <xf numFmtId="0" fontId="0" fillId="0" borderId="0" xfId="0" quotePrefix="1" applyAlignment="1">
      <alignment horizontal="right"/>
    </xf>
    <xf numFmtId="0" fontId="0" fillId="0" borderId="0" xfId="0" applyProtection="1"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" fontId="0" fillId="0" borderId="0" xfId="0" quotePrefix="1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7" xfId="0" applyBorder="1"/>
    <xf numFmtId="0" fontId="0" fillId="0" borderId="3" xfId="0" applyBorder="1"/>
    <xf numFmtId="0" fontId="0" fillId="0" borderId="2" xfId="0" applyBorder="1"/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 vertical="center" wrapText="1"/>
    </xf>
    <xf numFmtId="43" fontId="0" fillId="0" borderId="1" xfId="0" applyNumberFormat="1" applyBorder="1"/>
    <xf numFmtId="39" fontId="0" fillId="0" borderId="0" xfId="0" applyNumberFormat="1"/>
    <xf numFmtId="43" fontId="0" fillId="0" borderId="1" xfId="0" applyNumberFormat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2" fillId="0" borderId="0" xfId="0" applyFont="1" applyAlignment="1">
      <alignment horizontal="left"/>
    </xf>
    <xf numFmtId="14" fontId="0" fillId="0" borderId="0" xfId="0" applyNumberFormat="1" applyProtection="1">
      <protection locked="0"/>
    </xf>
    <xf numFmtId="19" fontId="0" fillId="0" borderId="0" xfId="0" applyNumberFormat="1" applyProtection="1">
      <protection locked="0"/>
    </xf>
    <xf numFmtId="0" fontId="0" fillId="0" borderId="7" xfId="0" applyBorder="1" applyAlignment="1">
      <alignment horizontal="center" vertical="top"/>
    </xf>
    <xf numFmtId="43" fontId="0" fillId="0" borderId="7" xfId="1" applyFont="1" applyBorder="1" applyAlignment="1">
      <alignment horizontal="right" vertical="top"/>
    </xf>
    <xf numFmtId="0" fontId="0" fillId="0" borderId="9" xfId="0" applyBorder="1"/>
    <xf numFmtId="0" fontId="0" fillId="0" borderId="14" xfId="0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right" vertical="top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vertical="top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43" fontId="0" fillId="0" borderId="7" xfId="1" applyFont="1" applyBorder="1" applyAlignment="1" applyProtection="1">
      <alignment horizontal="right" vertical="top"/>
      <protection locked="0"/>
    </xf>
    <xf numFmtId="0" fontId="0" fillId="0" borderId="14" xfId="0" applyBorder="1"/>
    <xf numFmtId="43" fontId="0" fillId="0" borderId="0" xfId="0" applyNumberFormat="1" applyProtection="1">
      <protection locked="0"/>
    </xf>
    <xf numFmtId="43" fontId="0" fillId="0" borderId="5" xfId="0" applyNumberFormat="1" applyBorder="1" applyProtection="1">
      <protection locked="0"/>
    </xf>
    <xf numFmtId="0" fontId="4" fillId="0" borderId="0" xfId="0" applyFont="1" applyAlignment="1">
      <alignment horizontal="center"/>
    </xf>
    <xf numFmtId="43" fontId="0" fillId="0" borderId="0" xfId="1" applyFont="1" applyBorder="1" applyAlignment="1" applyProtection="1">
      <alignment horizontal="right" vertical="top"/>
      <protection locked="0"/>
    </xf>
    <xf numFmtId="43" fontId="0" fillId="0" borderId="12" xfId="1" applyFont="1" applyBorder="1" applyAlignment="1">
      <alignment horizontal="right" vertical="top"/>
    </xf>
    <xf numFmtId="0" fontId="0" fillId="0" borderId="0" xfId="0" quotePrefix="1"/>
    <xf numFmtId="0" fontId="4" fillId="0" borderId="0" xfId="0" applyFont="1"/>
    <xf numFmtId="43" fontId="0" fillId="0" borderId="14" xfId="1" applyFont="1" applyBorder="1" applyAlignment="1" applyProtection="1">
      <alignment horizontal="right"/>
      <protection locked="0"/>
    </xf>
    <xf numFmtId="43" fontId="0" fillId="0" borderId="15" xfId="1" applyFont="1" applyBorder="1" applyAlignment="1">
      <alignment horizontal="right"/>
    </xf>
    <xf numFmtId="164" fontId="0" fillId="0" borderId="0" xfId="0" quotePrefix="1" applyNumberFormat="1" applyAlignment="1" applyProtection="1">
      <alignment horizontal="left" vertical="top" wrapText="1"/>
      <protection locked="0"/>
    </xf>
    <xf numFmtId="0" fontId="0" fillId="0" borderId="11" xfId="0" applyBorder="1" applyAlignment="1">
      <alignment horizontal="justify" wrapText="1"/>
    </xf>
    <xf numFmtId="0" fontId="0" fillId="0" borderId="0" xfId="0" applyAlignment="1">
      <alignment horizontal="justify" wrapText="1"/>
    </xf>
    <xf numFmtId="0" fontId="0" fillId="0" borderId="12" xfId="0" applyBorder="1" applyAlignment="1">
      <alignment horizontal="justify" wrapText="1"/>
    </xf>
    <xf numFmtId="0" fontId="0" fillId="0" borderId="13" xfId="0" applyBorder="1" applyAlignment="1">
      <alignment horizontal="justify" wrapText="1"/>
    </xf>
    <xf numFmtId="0" fontId="0" fillId="0" borderId="14" xfId="0" applyBorder="1" applyAlignment="1">
      <alignment horizontal="justify" wrapText="1"/>
    </xf>
    <xf numFmtId="0" fontId="0" fillId="0" borderId="15" xfId="0" applyBorder="1" applyAlignment="1">
      <alignment horizontal="justify" wrapText="1"/>
    </xf>
    <xf numFmtId="0" fontId="2" fillId="0" borderId="4" xfId="0" applyFont="1" applyBorder="1" applyAlignment="1">
      <alignment horizontal="right" vertical="center" wrapText="1"/>
    </xf>
    <xf numFmtId="0" fontId="2" fillId="0" borderId="6" xfId="0" applyFont="1" applyBorder="1" applyAlignment="1">
      <alignment horizontal="right" vertical="center" wrapText="1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0" borderId="10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16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2" fillId="0" borderId="1" xfId="0" applyFont="1" applyBorder="1" applyAlignment="1">
      <alignment horizontal="right"/>
    </xf>
    <xf numFmtId="0" fontId="0" fillId="0" borderId="0" xfId="0" applyAlignment="1">
      <alignment horizontal="left" wrapText="1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left" wrapText="1"/>
    </xf>
    <xf numFmtId="0" fontId="2" fillId="0" borderId="1" xfId="0" applyFont="1" applyBorder="1" applyAlignment="1">
      <alignment horizontal="left" wrapText="1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1" xfId="0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left"/>
    </xf>
    <xf numFmtId="0" fontId="3" fillId="0" borderId="14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3"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3"/>
  <sheetViews>
    <sheetView tabSelected="1" view="pageBreakPreview" topLeftCell="A74" zoomScaleNormal="100" zoomScaleSheetLayoutView="100" workbookViewId="0">
      <selection activeCell="H50" sqref="H50"/>
    </sheetView>
  </sheetViews>
  <sheetFormatPr defaultRowHeight="15" x14ac:dyDescent="0.25"/>
  <cols>
    <col min="1" max="1" width="8.42578125" customWidth="1"/>
    <col min="2" max="2" width="10" customWidth="1"/>
    <col min="6" max="6" width="18.42578125" customWidth="1"/>
    <col min="7" max="7" width="7.140625" customWidth="1"/>
    <col min="8" max="8" width="13.28515625" bestFit="1" customWidth="1"/>
    <col min="9" max="9" width="11.5703125" bestFit="1" customWidth="1"/>
    <col min="10" max="10" width="13.28515625" customWidth="1"/>
    <col min="12" max="12" width="12.28515625" bestFit="1" customWidth="1"/>
    <col min="13" max="13" width="12.7109375" bestFit="1" customWidth="1"/>
  </cols>
  <sheetData>
    <row r="1" spans="1:12" ht="18.75" x14ac:dyDescent="0.3">
      <c r="A1" s="88" t="s">
        <v>51</v>
      </c>
      <c r="B1" s="88"/>
      <c r="C1" s="88"/>
      <c r="D1" s="88"/>
      <c r="E1" s="88"/>
      <c r="F1" s="88"/>
      <c r="G1" s="88"/>
      <c r="H1" s="88"/>
      <c r="I1" s="88"/>
      <c r="J1" s="88"/>
      <c r="L1" s="18"/>
    </row>
    <row r="2" spans="1:12" ht="15.75" x14ac:dyDescent="0.25">
      <c r="A2" s="90" t="s">
        <v>52</v>
      </c>
      <c r="B2" s="90"/>
      <c r="C2" s="90"/>
      <c r="D2" s="90"/>
      <c r="E2" s="90"/>
      <c r="F2" s="90"/>
      <c r="G2" s="90"/>
      <c r="H2" s="90"/>
      <c r="I2" s="90"/>
      <c r="J2" s="90"/>
      <c r="L2" s="18"/>
    </row>
    <row r="3" spans="1:12" x14ac:dyDescent="0.25">
      <c r="A3" s="89" t="s">
        <v>15</v>
      </c>
      <c r="B3" s="89"/>
      <c r="C3" s="89"/>
      <c r="D3" s="89"/>
      <c r="E3" s="89"/>
      <c r="F3" s="89"/>
      <c r="G3" s="89"/>
      <c r="H3" s="89"/>
      <c r="I3" s="89"/>
      <c r="J3" s="89"/>
      <c r="L3" s="18"/>
    </row>
    <row r="4" spans="1:12" x14ac:dyDescent="0.25">
      <c r="A4" s="89" t="s">
        <v>115</v>
      </c>
      <c r="B4" s="89"/>
      <c r="C4" s="89"/>
      <c r="D4" s="89"/>
      <c r="E4" s="89"/>
      <c r="F4" s="89"/>
      <c r="G4" s="89"/>
      <c r="H4" s="89"/>
      <c r="I4" s="89"/>
      <c r="J4" s="89"/>
      <c r="L4" s="18"/>
    </row>
    <row r="5" spans="1:12" x14ac:dyDescent="0.25">
      <c r="A5" s="89" t="s">
        <v>121</v>
      </c>
      <c r="B5" s="89"/>
      <c r="C5" s="89"/>
      <c r="D5" s="89"/>
      <c r="E5" s="89"/>
      <c r="F5" s="89"/>
      <c r="G5" s="89"/>
      <c r="H5" s="89"/>
      <c r="I5" s="89"/>
      <c r="J5" s="89"/>
      <c r="L5" s="18"/>
    </row>
    <row r="6" spans="1:12" x14ac:dyDescent="0.25">
      <c r="A6" s="89" t="s">
        <v>16</v>
      </c>
      <c r="B6" s="89"/>
      <c r="C6" s="89"/>
      <c r="D6" s="89"/>
      <c r="E6" s="89"/>
      <c r="F6" s="89"/>
      <c r="G6" s="89"/>
      <c r="H6" s="89"/>
      <c r="I6" s="89"/>
      <c r="J6" s="89"/>
      <c r="L6" s="18"/>
    </row>
    <row r="7" spans="1:12" x14ac:dyDescent="0.25">
      <c r="A7" s="89" t="s">
        <v>114</v>
      </c>
      <c r="B7" s="89"/>
      <c r="C7" s="89"/>
      <c r="D7" s="89"/>
      <c r="E7" s="89"/>
      <c r="F7" s="89"/>
      <c r="G7" s="89"/>
      <c r="H7" s="89"/>
      <c r="I7" s="89"/>
      <c r="J7" s="89"/>
      <c r="L7" s="18"/>
    </row>
    <row r="8" spans="1:12" ht="11.1" customHeight="1" x14ac:dyDescent="0.25">
      <c r="A8" s="89"/>
      <c r="B8" s="89"/>
      <c r="C8" s="89"/>
      <c r="D8" s="89"/>
      <c r="E8" s="89"/>
      <c r="F8" s="89"/>
      <c r="G8" s="89"/>
      <c r="H8" s="89"/>
      <c r="I8" s="89"/>
      <c r="J8" s="89"/>
      <c r="L8" s="18"/>
    </row>
    <row r="9" spans="1:12" ht="18.75" x14ac:dyDescent="0.25">
      <c r="E9" s="76" t="s">
        <v>53</v>
      </c>
      <c r="F9" s="76"/>
      <c r="H9" t="s">
        <v>116</v>
      </c>
      <c r="J9" s="19" t="s">
        <v>117</v>
      </c>
    </row>
    <row r="10" spans="1:12" x14ac:dyDescent="0.25">
      <c r="A10" t="s">
        <v>1</v>
      </c>
      <c r="C10" s="20" t="s">
        <v>17</v>
      </c>
      <c r="H10" t="str">
        <f>IF(E9="INVOICE", "Invoice No:", "")</f>
        <v/>
      </c>
      <c r="J10" s="21"/>
    </row>
    <row r="11" spans="1:12" x14ac:dyDescent="0.25">
      <c r="A11" t="s">
        <v>0</v>
      </c>
      <c r="C11" s="81" t="s">
        <v>18</v>
      </c>
      <c r="D11" s="81"/>
      <c r="E11" s="81"/>
      <c r="F11" s="81"/>
      <c r="H11" t="str">
        <f>IF(E9="INVOICE", "Date:", "")</f>
        <v/>
      </c>
      <c r="J11" s="20"/>
      <c r="L11" s="42">
        <v>45365</v>
      </c>
    </row>
    <row r="12" spans="1:12" x14ac:dyDescent="0.25">
      <c r="C12" s="81"/>
      <c r="D12" s="81"/>
      <c r="E12" s="81"/>
      <c r="F12" s="81"/>
      <c r="J12" s="42"/>
      <c r="L12" s="43">
        <v>0.65211805555555558</v>
      </c>
    </row>
    <row r="13" spans="1:12" x14ac:dyDescent="0.25">
      <c r="C13" s="81"/>
      <c r="D13" s="81"/>
      <c r="E13" s="81"/>
      <c r="F13" s="81"/>
      <c r="J13" s="43"/>
      <c r="L13" s="43"/>
    </row>
    <row r="14" spans="1:12" x14ac:dyDescent="0.25">
      <c r="C14" s="81"/>
      <c r="D14" s="81"/>
      <c r="E14" s="81"/>
      <c r="F14" s="81"/>
      <c r="J14" s="20"/>
    </row>
    <row r="15" spans="1:12" x14ac:dyDescent="0.25">
      <c r="A15" t="s">
        <v>2</v>
      </c>
      <c r="C15" s="82" t="s">
        <v>60</v>
      </c>
      <c r="D15" s="82"/>
      <c r="E15" s="82"/>
      <c r="F15" s="82"/>
      <c r="G15" s="82"/>
      <c r="H15" s="82"/>
      <c r="I15" s="82"/>
      <c r="J15" s="82"/>
    </row>
    <row r="16" spans="1:12" x14ac:dyDescent="0.25">
      <c r="C16" s="82"/>
      <c r="D16" s="82"/>
      <c r="E16" s="82"/>
      <c r="F16" s="82"/>
      <c r="G16" s="82"/>
      <c r="H16" s="82"/>
      <c r="I16" s="82"/>
      <c r="J16" s="82"/>
    </row>
    <row r="17" spans="1:15" x14ac:dyDescent="0.25">
      <c r="C17" s="82"/>
      <c r="D17" s="82"/>
      <c r="E17" s="82"/>
      <c r="F17" s="82"/>
      <c r="G17" s="82"/>
      <c r="H17" s="82"/>
      <c r="I17" s="82"/>
      <c r="J17" s="82"/>
    </row>
    <row r="18" spans="1:15" x14ac:dyDescent="0.25">
      <c r="A18" t="s">
        <v>59</v>
      </c>
      <c r="B18" s="22"/>
      <c r="C18" s="80">
        <v>1.1E+18</v>
      </c>
      <c r="D18" s="80"/>
      <c r="E18" s="80"/>
      <c r="F18" s="80"/>
      <c r="G18" s="22"/>
      <c r="H18" s="23"/>
      <c r="I18" s="22"/>
      <c r="J18" s="24"/>
    </row>
    <row r="19" spans="1:15" x14ac:dyDescent="0.25">
      <c r="A19" t="s">
        <v>57</v>
      </c>
      <c r="B19" s="22"/>
      <c r="C19" s="80" t="s">
        <v>58</v>
      </c>
      <c r="D19" s="80"/>
      <c r="E19" s="80"/>
      <c r="F19" s="80"/>
      <c r="G19" s="22"/>
      <c r="H19" s="23"/>
      <c r="I19" s="22"/>
      <c r="J19" s="24"/>
    </row>
    <row r="20" spans="1:15" ht="15" customHeight="1" x14ac:dyDescent="0.25">
      <c r="A20" t="s">
        <v>54</v>
      </c>
      <c r="B20" s="22"/>
      <c r="C20" s="67" t="s">
        <v>94</v>
      </c>
      <c r="D20" s="67"/>
      <c r="E20" s="67"/>
      <c r="F20" s="67"/>
      <c r="G20" s="22"/>
      <c r="H20" s="23"/>
      <c r="I20" s="22"/>
      <c r="J20" s="24"/>
    </row>
    <row r="21" spans="1:15" x14ac:dyDescent="0.25">
      <c r="B21" s="22"/>
      <c r="C21" s="67"/>
      <c r="D21" s="67"/>
      <c r="E21" s="67"/>
      <c r="F21" s="67"/>
      <c r="G21" s="22"/>
      <c r="H21" s="23"/>
      <c r="I21" s="22"/>
      <c r="J21" s="24"/>
    </row>
    <row r="22" spans="1:15" x14ac:dyDescent="0.25">
      <c r="B22" s="22"/>
      <c r="C22" s="67"/>
      <c r="D22" s="67"/>
      <c r="E22" s="67"/>
      <c r="F22" s="67"/>
      <c r="G22" s="22"/>
      <c r="H22" s="23"/>
      <c r="I22" s="22"/>
      <c r="J22" s="24"/>
    </row>
    <row r="23" spans="1:15" ht="11.1" customHeight="1" x14ac:dyDescent="0.25"/>
    <row r="24" spans="1:15" ht="45.75" customHeight="1" x14ac:dyDescent="0.25">
      <c r="A24" s="25" t="s">
        <v>3</v>
      </c>
      <c r="B24" s="26" t="s">
        <v>4</v>
      </c>
      <c r="C24" s="27"/>
      <c r="D24" s="27"/>
      <c r="E24" s="27"/>
      <c r="F24" s="28"/>
      <c r="G24" s="29" t="s">
        <v>5</v>
      </c>
      <c r="H24" s="29" t="s">
        <v>118</v>
      </c>
      <c r="I24" s="29" t="s">
        <v>135</v>
      </c>
      <c r="J24" s="29" t="s">
        <v>119</v>
      </c>
    </row>
    <row r="25" spans="1:15" ht="15" customHeight="1" x14ac:dyDescent="0.25">
      <c r="A25" s="10"/>
      <c r="B25" s="78" t="s">
        <v>136</v>
      </c>
      <c r="C25" s="79"/>
      <c r="D25" s="79"/>
      <c r="E25" s="79"/>
      <c r="F25" s="79"/>
      <c r="G25" s="79"/>
      <c r="H25" s="79"/>
      <c r="I25" s="79"/>
      <c r="J25" s="79"/>
    </row>
    <row r="26" spans="1:15" ht="15" customHeight="1" x14ac:dyDescent="0.25">
      <c r="A26" s="30"/>
      <c r="B26" s="68" t="s">
        <v>138</v>
      </c>
      <c r="C26" s="69"/>
      <c r="D26" s="69"/>
      <c r="E26" s="69"/>
      <c r="F26" s="69"/>
      <c r="G26" s="69"/>
      <c r="H26" s="69"/>
      <c r="I26" s="69"/>
      <c r="J26" s="70"/>
      <c r="L26" t="s">
        <v>48</v>
      </c>
      <c r="M26" t="s">
        <v>6</v>
      </c>
    </row>
    <row r="27" spans="1:15" x14ac:dyDescent="0.25">
      <c r="A27" s="30"/>
      <c r="B27" s="68"/>
      <c r="C27" s="69"/>
      <c r="D27" s="69"/>
      <c r="E27" s="69"/>
      <c r="F27" s="69"/>
      <c r="G27" s="69"/>
      <c r="H27" s="69"/>
      <c r="I27" s="69"/>
      <c r="J27" s="70"/>
      <c r="L27" t="s">
        <v>49</v>
      </c>
      <c r="M27" t="s">
        <v>7</v>
      </c>
    </row>
    <row r="28" spans="1:15" x14ac:dyDescent="0.25">
      <c r="A28" s="31"/>
      <c r="B28" s="71"/>
      <c r="C28" s="72"/>
      <c r="D28" s="72"/>
      <c r="E28" s="72"/>
      <c r="F28" s="72"/>
      <c r="G28" s="72"/>
      <c r="H28" s="72"/>
      <c r="I28" s="72"/>
      <c r="J28" s="73"/>
    </row>
    <row r="29" spans="1:15" x14ac:dyDescent="0.25">
      <c r="A29" s="32">
        <v>1</v>
      </c>
      <c r="B29" s="91" t="s">
        <v>23</v>
      </c>
      <c r="C29" s="92"/>
      <c r="D29" s="92"/>
      <c r="E29" s="92"/>
      <c r="F29" s="92"/>
      <c r="G29" s="92"/>
      <c r="H29" s="92"/>
      <c r="I29" s="92"/>
      <c r="J29" s="92"/>
      <c r="O29" t="s">
        <v>67</v>
      </c>
    </row>
    <row r="30" spans="1:15" x14ac:dyDescent="0.25">
      <c r="A30" s="34" t="s">
        <v>24</v>
      </c>
      <c r="B30" s="93" t="s">
        <v>28</v>
      </c>
      <c r="C30" s="93"/>
      <c r="D30" s="93"/>
      <c r="E30" s="93"/>
      <c r="F30" s="94"/>
      <c r="G30" s="33"/>
      <c r="H30" s="12">
        <v>0</v>
      </c>
      <c r="I30" s="5">
        <f>IF(G30="T",H30*0.08,0)</f>
        <v>0</v>
      </c>
      <c r="J30" s="5">
        <f>+H30+I30</f>
        <v>0</v>
      </c>
      <c r="O30" t="s">
        <v>68</v>
      </c>
    </row>
    <row r="31" spans="1:15" x14ac:dyDescent="0.25">
      <c r="A31" s="34" t="s">
        <v>25</v>
      </c>
      <c r="B31" s="87" t="s">
        <v>74</v>
      </c>
      <c r="C31" s="87"/>
      <c r="D31" s="87"/>
      <c r="E31" s="87"/>
      <c r="F31" s="95"/>
      <c r="G31" s="33"/>
      <c r="H31" s="12">
        <v>0</v>
      </c>
      <c r="I31" s="5">
        <f>IF(G31="T",H31*0.08,0)</f>
        <v>0</v>
      </c>
      <c r="J31" s="5">
        <f t="shared" ref="J31:J34" si="0">+H31+I31</f>
        <v>0</v>
      </c>
      <c r="O31" t="s">
        <v>69</v>
      </c>
    </row>
    <row r="32" spans="1:15" x14ac:dyDescent="0.25">
      <c r="A32" s="34" t="s">
        <v>26</v>
      </c>
      <c r="B32" s="87" t="s">
        <v>29</v>
      </c>
      <c r="C32" s="87"/>
      <c r="D32" s="87"/>
      <c r="E32" s="87"/>
      <c r="F32" s="95"/>
      <c r="G32" s="33"/>
      <c r="H32" s="12">
        <v>0</v>
      </c>
      <c r="I32" s="5">
        <f>IF(G32="T",H32*0.08,0)</f>
        <v>0</v>
      </c>
      <c r="J32" s="5">
        <f t="shared" si="0"/>
        <v>0</v>
      </c>
      <c r="O32" t="s">
        <v>70</v>
      </c>
    </row>
    <row r="33" spans="1:15" x14ac:dyDescent="0.25">
      <c r="A33" s="34" t="s">
        <v>27</v>
      </c>
      <c r="B33" s="87" t="s">
        <v>93</v>
      </c>
      <c r="C33" s="87"/>
      <c r="D33" s="87"/>
      <c r="E33" s="87"/>
      <c r="F33" s="95"/>
      <c r="G33" s="33"/>
      <c r="H33" s="12">
        <v>0</v>
      </c>
      <c r="I33" s="5">
        <f>IF(G33="T",H33*0.08,0)</f>
        <v>0</v>
      </c>
      <c r="J33" s="5">
        <f t="shared" si="0"/>
        <v>0</v>
      </c>
      <c r="O33" t="s">
        <v>71</v>
      </c>
    </row>
    <row r="34" spans="1:15" x14ac:dyDescent="0.25">
      <c r="A34" s="48" t="s">
        <v>31</v>
      </c>
      <c r="B34" s="100" t="s">
        <v>75</v>
      </c>
      <c r="C34" s="100"/>
      <c r="D34" s="100"/>
      <c r="E34" s="100"/>
      <c r="F34" s="101"/>
      <c r="G34" s="49"/>
      <c r="H34" s="13">
        <v>0</v>
      </c>
      <c r="I34" s="6">
        <f>IF(G34="T",H34*0.08,0)</f>
        <v>0</v>
      </c>
      <c r="J34" s="6">
        <f t="shared" si="0"/>
        <v>0</v>
      </c>
      <c r="O34" t="s">
        <v>72</v>
      </c>
    </row>
    <row r="35" spans="1:15" x14ac:dyDescent="0.25">
      <c r="A35" s="32">
        <v>2</v>
      </c>
      <c r="B35" s="97" t="s">
        <v>30</v>
      </c>
      <c r="C35" s="97"/>
      <c r="D35" s="97"/>
      <c r="E35" s="97"/>
      <c r="F35" s="97"/>
      <c r="G35" s="97"/>
      <c r="H35" s="97"/>
      <c r="I35" s="97"/>
      <c r="J35" s="98"/>
    </row>
    <row r="36" spans="1:15" x14ac:dyDescent="0.25">
      <c r="A36" s="34" t="s">
        <v>24</v>
      </c>
      <c r="B36" s="99" t="s">
        <v>19</v>
      </c>
      <c r="C36" s="93"/>
      <c r="D36" s="93"/>
      <c r="E36" s="93"/>
      <c r="F36" s="94"/>
      <c r="G36" s="53"/>
      <c r="H36" s="17">
        <v>0</v>
      </c>
      <c r="I36" s="3">
        <f t="shared" ref="I36:I55" si="1">IF(G36="SR",H36*0.08,0)</f>
        <v>0</v>
      </c>
      <c r="J36" s="3">
        <f>+H36+I36</f>
        <v>0</v>
      </c>
    </row>
    <row r="37" spans="1:15" x14ac:dyDescent="0.25">
      <c r="A37" s="34" t="s">
        <v>25</v>
      </c>
      <c r="B37" s="96" t="s">
        <v>100</v>
      </c>
      <c r="C37" s="87"/>
      <c r="D37" s="87"/>
      <c r="E37" s="87"/>
      <c r="F37" s="95"/>
      <c r="G37" s="54"/>
      <c r="H37" s="12">
        <v>0</v>
      </c>
      <c r="I37" s="5">
        <f t="shared" si="1"/>
        <v>0</v>
      </c>
      <c r="J37" s="5">
        <f>+H37+I37</f>
        <v>0</v>
      </c>
    </row>
    <row r="38" spans="1:15" x14ac:dyDescent="0.25">
      <c r="A38" s="34" t="s">
        <v>26</v>
      </c>
      <c r="B38" s="96" t="s">
        <v>76</v>
      </c>
      <c r="C38" s="87"/>
      <c r="D38" s="87"/>
      <c r="E38" s="87"/>
      <c r="F38" s="95"/>
      <c r="G38" s="54"/>
      <c r="H38" s="12">
        <v>0</v>
      </c>
      <c r="I38" s="5">
        <f t="shared" si="1"/>
        <v>0</v>
      </c>
      <c r="J38" s="5">
        <f>+H38+I38</f>
        <v>0</v>
      </c>
    </row>
    <row r="39" spans="1:15" x14ac:dyDescent="0.25">
      <c r="A39" s="34" t="s">
        <v>27</v>
      </c>
      <c r="B39" s="51" t="s">
        <v>106</v>
      </c>
      <c r="C39" s="23"/>
      <c r="D39" s="23"/>
      <c r="E39" s="23"/>
      <c r="F39" s="40"/>
      <c r="G39" s="54"/>
      <c r="H39" s="12">
        <v>0</v>
      </c>
      <c r="I39" s="5">
        <f t="shared" si="1"/>
        <v>0</v>
      </c>
      <c r="J39" s="5">
        <f t="shared" ref="J39:J45" si="2">+H39+I39</f>
        <v>0</v>
      </c>
    </row>
    <row r="40" spans="1:15" x14ac:dyDescent="0.25">
      <c r="A40" s="34" t="s">
        <v>31</v>
      </c>
      <c r="B40" s="51" t="s">
        <v>39</v>
      </c>
      <c r="C40" s="23"/>
      <c r="D40" s="23"/>
      <c r="E40" s="23"/>
      <c r="F40" s="40"/>
      <c r="G40" s="54"/>
      <c r="H40" s="12">
        <v>0</v>
      </c>
      <c r="I40" s="5">
        <f t="shared" si="1"/>
        <v>0</v>
      </c>
      <c r="J40" s="5">
        <f t="shared" si="2"/>
        <v>0</v>
      </c>
    </row>
    <row r="41" spans="1:15" x14ac:dyDescent="0.25">
      <c r="A41" s="34" t="s">
        <v>32</v>
      </c>
      <c r="B41" s="51" t="s">
        <v>101</v>
      </c>
      <c r="C41" s="23"/>
      <c r="D41" s="23"/>
      <c r="E41" s="23"/>
      <c r="F41" s="40"/>
      <c r="G41" s="54"/>
      <c r="H41" s="12">
        <v>0</v>
      </c>
      <c r="I41" s="5">
        <f t="shared" si="1"/>
        <v>0</v>
      </c>
      <c r="J41" s="5">
        <f t="shared" si="2"/>
        <v>0</v>
      </c>
    </row>
    <row r="42" spans="1:15" x14ac:dyDescent="0.25">
      <c r="A42" s="34" t="s">
        <v>33</v>
      </c>
      <c r="B42" s="51" t="s">
        <v>61</v>
      </c>
      <c r="C42" s="23"/>
      <c r="D42" s="23"/>
      <c r="E42" s="23"/>
      <c r="F42" s="40"/>
      <c r="G42" s="54"/>
      <c r="H42" s="12">
        <v>0</v>
      </c>
      <c r="I42" s="5">
        <f t="shared" si="1"/>
        <v>0</v>
      </c>
      <c r="J42" s="5">
        <f t="shared" si="2"/>
        <v>0</v>
      </c>
    </row>
    <row r="43" spans="1:15" x14ac:dyDescent="0.25">
      <c r="A43" s="34" t="s">
        <v>34</v>
      </c>
      <c r="B43" s="51" t="s">
        <v>62</v>
      </c>
      <c r="C43" s="23"/>
      <c r="D43" s="23"/>
      <c r="E43" s="23"/>
      <c r="F43" s="40"/>
      <c r="G43" s="54"/>
      <c r="H43" s="12">
        <v>0</v>
      </c>
      <c r="I43" s="5">
        <f t="shared" si="1"/>
        <v>0</v>
      </c>
      <c r="J43" s="5">
        <f t="shared" si="2"/>
        <v>0</v>
      </c>
    </row>
    <row r="44" spans="1:15" x14ac:dyDescent="0.25">
      <c r="A44" s="34" t="s">
        <v>35</v>
      </c>
      <c r="B44" s="51" t="s">
        <v>40</v>
      </c>
      <c r="C44" s="23"/>
      <c r="D44" s="23"/>
      <c r="E44" s="23"/>
      <c r="F44" s="40"/>
      <c r="G44" s="54"/>
      <c r="H44" s="12">
        <v>0</v>
      </c>
      <c r="I44" s="5">
        <f t="shared" si="1"/>
        <v>0</v>
      </c>
      <c r="J44" s="5">
        <f t="shared" si="2"/>
        <v>0</v>
      </c>
    </row>
    <row r="45" spans="1:15" x14ac:dyDescent="0.25">
      <c r="A45" s="34" t="s">
        <v>36</v>
      </c>
      <c r="B45" s="51" t="s">
        <v>41</v>
      </c>
      <c r="C45" s="23"/>
      <c r="D45" s="23"/>
      <c r="E45" s="23"/>
      <c r="F45" s="40"/>
      <c r="G45" s="54"/>
      <c r="H45" s="12">
        <v>0</v>
      </c>
      <c r="I45" s="5">
        <f t="shared" si="1"/>
        <v>0</v>
      </c>
      <c r="J45" s="5">
        <f t="shared" si="2"/>
        <v>0</v>
      </c>
    </row>
    <row r="46" spans="1:15" x14ac:dyDescent="0.25">
      <c r="A46" s="34" t="s">
        <v>37</v>
      </c>
      <c r="B46" s="51" t="s">
        <v>89</v>
      </c>
      <c r="C46" s="23"/>
      <c r="D46" s="23"/>
      <c r="E46" s="23"/>
      <c r="F46" s="40"/>
      <c r="G46" s="54"/>
      <c r="H46" s="12">
        <v>0</v>
      </c>
      <c r="I46" s="5">
        <f t="shared" si="1"/>
        <v>0</v>
      </c>
      <c r="J46" s="5">
        <f t="shared" ref="J46" si="3">+H46+I46</f>
        <v>0</v>
      </c>
    </row>
    <row r="47" spans="1:15" x14ac:dyDescent="0.25">
      <c r="A47" s="34" t="s">
        <v>38</v>
      </c>
      <c r="B47" s="51" t="s">
        <v>63</v>
      </c>
      <c r="C47" s="23"/>
      <c r="D47" s="23"/>
      <c r="E47" s="23"/>
      <c r="F47" s="40"/>
      <c r="G47" s="54"/>
      <c r="H47" s="12">
        <v>0</v>
      </c>
      <c r="I47" s="5">
        <f t="shared" si="1"/>
        <v>0</v>
      </c>
      <c r="J47" s="5">
        <f t="shared" ref="J47:J48" si="4">+H47+I47</f>
        <v>0</v>
      </c>
    </row>
    <row r="48" spans="1:15" x14ac:dyDescent="0.25">
      <c r="A48" s="34" t="s">
        <v>78</v>
      </c>
      <c r="B48" s="96" t="s">
        <v>95</v>
      </c>
      <c r="C48" s="87"/>
      <c r="D48" s="87"/>
      <c r="E48" s="87"/>
      <c r="F48" s="95"/>
      <c r="G48" s="54"/>
      <c r="H48" s="12">
        <v>0</v>
      </c>
      <c r="I48" s="5">
        <f t="shared" si="1"/>
        <v>0</v>
      </c>
      <c r="J48" s="5">
        <f t="shared" si="4"/>
        <v>0</v>
      </c>
    </row>
    <row r="49" spans="1:15" x14ac:dyDescent="0.25">
      <c r="A49" s="34" t="s">
        <v>90</v>
      </c>
      <c r="B49" s="51" t="s">
        <v>42</v>
      </c>
      <c r="C49" s="23"/>
      <c r="D49" s="23"/>
      <c r="E49" s="23"/>
      <c r="F49" s="40"/>
      <c r="G49" s="54"/>
      <c r="H49" s="12">
        <v>0</v>
      </c>
      <c r="I49" s="5">
        <f t="shared" si="1"/>
        <v>0</v>
      </c>
      <c r="J49" s="5">
        <f t="shared" ref="J49:J55" si="5">+H49+I49</f>
        <v>0</v>
      </c>
    </row>
    <row r="50" spans="1:15" x14ac:dyDescent="0.25">
      <c r="A50" s="34" t="s">
        <v>91</v>
      </c>
      <c r="B50" s="51" t="s">
        <v>65</v>
      </c>
      <c r="C50" s="23"/>
      <c r="D50" s="23"/>
      <c r="E50" s="23"/>
      <c r="F50" s="40"/>
      <c r="G50" s="54"/>
      <c r="H50" s="12">
        <v>0</v>
      </c>
      <c r="I50" s="5">
        <f t="shared" si="1"/>
        <v>0</v>
      </c>
      <c r="J50" s="5">
        <f t="shared" si="5"/>
        <v>0</v>
      </c>
    </row>
    <row r="51" spans="1:15" x14ac:dyDescent="0.25">
      <c r="A51" s="34" t="s">
        <v>92</v>
      </c>
      <c r="B51" s="51" t="s">
        <v>77</v>
      </c>
      <c r="C51" s="23"/>
      <c r="D51" s="23"/>
      <c r="E51" s="23"/>
      <c r="F51" s="40"/>
      <c r="G51" s="54"/>
      <c r="H51" s="12">
        <v>0</v>
      </c>
      <c r="I51" s="5">
        <f t="shared" si="1"/>
        <v>0</v>
      </c>
      <c r="J51" s="5">
        <f t="shared" ref="J51:J52" si="6">+H51+I51</f>
        <v>0</v>
      </c>
    </row>
    <row r="52" spans="1:15" x14ac:dyDescent="0.25">
      <c r="A52" s="34" t="s">
        <v>97</v>
      </c>
      <c r="B52" s="96" t="s">
        <v>66</v>
      </c>
      <c r="C52" s="87"/>
      <c r="D52" s="87"/>
      <c r="E52" s="87"/>
      <c r="F52" s="95"/>
      <c r="G52" s="54"/>
      <c r="H52" s="12">
        <v>0</v>
      </c>
      <c r="I52" s="5">
        <f t="shared" si="1"/>
        <v>0</v>
      </c>
      <c r="J52" s="5">
        <f t="shared" si="6"/>
        <v>0</v>
      </c>
    </row>
    <row r="53" spans="1:15" x14ac:dyDescent="0.25">
      <c r="A53" s="34" t="s">
        <v>98</v>
      </c>
      <c r="B53" s="96" t="s">
        <v>21</v>
      </c>
      <c r="C53" s="87"/>
      <c r="D53" s="87"/>
      <c r="E53" s="87"/>
      <c r="F53" s="95"/>
      <c r="G53" s="54"/>
      <c r="H53" s="12">
        <v>0</v>
      </c>
      <c r="I53" s="5">
        <f t="shared" si="1"/>
        <v>0</v>
      </c>
      <c r="J53" s="5">
        <f t="shared" ref="J53" si="7">+H53+I53</f>
        <v>0</v>
      </c>
    </row>
    <row r="54" spans="1:15" x14ac:dyDescent="0.25">
      <c r="A54" s="50" t="s">
        <v>99</v>
      </c>
      <c r="B54" s="52" t="s">
        <v>64</v>
      </c>
      <c r="D54" s="82"/>
      <c r="E54" s="82"/>
      <c r="F54" s="102"/>
      <c r="G54" s="44"/>
      <c r="H54" s="56">
        <v>0</v>
      </c>
      <c r="I54" s="45">
        <f t="shared" si="1"/>
        <v>0</v>
      </c>
      <c r="J54" s="45">
        <f t="shared" si="5"/>
        <v>0</v>
      </c>
    </row>
    <row r="55" spans="1:15" x14ac:dyDescent="0.25">
      <c r="A55" s="48" t="s">
        <v>107</v>
      </c>
      <c r="B55" s="103" t="s">
        <v>139</v>
      </c>
      <c r="C55" s="100"/>
      <c r="D55" s="100"/>
      <c r="E55" s="100"/>
      <c r="F55" s="101"/>
      <c r="G55" s="55"/>
      <c r="H55" s="13">
        <v>0</v>
      </c>
      <c r="I55" s="6">
        <f t="shared" si="1"/>
        <v>0</v>
      </c>
      <c r="J55" s="6">
        <f t="shared" si="5"/>
        <v>0</v>
      </c>
    </row>
    <row r="56" spans="1:15" x14ac:dyDescent="0.25">
      <c r="A56" s="35"/>
      <c r="B56" s="23"/>
      <c r="C56" s="23"/>
      <c r="D56" s="23"/>
      <c r="E56" s="23"/>
      <c r="F56" s="23"/>
      <c r="G56" s="22"/>
      <c r="H56" s="4"/>
      <c r="I56" s="4"/>
      <c r="J56" s="4"/>
      <c r="O56" t="s">
        <v>73</v>
      </c>
    </row>
    <row r="57" spans="1:15" ht="30" x14ac:dyDescent="0.25">
      <c r="A57" s="25" t="s">
        <v>3</v>
      </c>
      <c r="B57" s="26" t="s">
        <v>4</v>
      </c>
      <c r="C57" s="27"/>
      <c r="D57" s="27"/>
      <c r="E57" s="27"/>
      <c r="F57" s="28"/>
      <c r="G57" s="29" t="s">
        <v>5</v>
      </c>
      <c r="H57" s="29" t="s">
        <v>118</v>
      </c>
      <c r="I57" s="36" t="s">
        <v>135</v>
      </c>
      <c r="J57" s="29" t="s">
        <v>119</v>
      </c>
      <c r="O57" t="s">
        <v>20</v>
      </c>
    </row>
    <row r="58" spans="1:15" x14ac:dyDescent="0.25">
      <c r="A58" s="30">
        <v>3</v>
      </c>
      <c r="B58" s="85" t="s">
        <v>43</v>
      </c>
      <c r="C58" s="85"/>
      <c r="D58" s="85"/>
      <c r="E58" s="85"/>
      <c r="F58" s="85"/>
      <c r="G58" s="97"/>
      <c r="H58" s="97"/>
      <c r="I58" s="97"/>
      <c r="J58" s="98"/>
    </row>
    <row r="59" spans="1:15" x14ac:dyDescent="0.25">
      <c r="A59" s="34" t="s">
        <v>24</v>
      </c>
      <c r="B59" s="46" t="s">
        <v>44</v>
      </c>
      <c r="C59" s="93" t="s">
        <v>80</v>
      </c>
      <c r="D59" s="93"/>
      <c r="E59" s="93"/>
      <c r="F59" s="93"/>
      <c r="G59" s="10"/>
      <c r="H59" s="14">
        <v>0</v>
      </c>
      <c r="I59" s="3">
        <f t="shared" ref="I59:I77" si="8">IF(G59="T",H59*0.08,0)</f>
        <v>0</v>
      </c>
      <c r="J59" s="7">
        <f>+H59+I59</f>
        <v>0</v>
      </c>
    </row>
    <row r="60" spans="1:15" x14ac:dyDescent="0.25">
      <c r="A60" s="30"/>
      <c r="B60" s="41"/>
      <c r="C60" s="87" t="s">
        <v>79</v>
      </c>
      <c r="D60" s="87"/>
      <c r="E60" s="87"/>
      <c r="F60" s="87"/>
      <c r="G60" s="9"/>
      <c r="H60" s="15">
        <v>0</v>
      </c>
      <c r="I60" s="5">
        <f t="shared" si="8"/>
        <v>0</v>
      </c>
      <c r="J60" s="8">
        <f t="shared" ref="J60:J75" si="9">+H60+I60</f>
        <v>0</v>
      </c>
    </row>
    <row r="61" spans="1:15" x14ac:dyDescent="0.25">
      <c r="A61" s="30"/>
      <c r="B61" s="41"/>
      <c r="C61" s="87" t="s">
        <v>45</v>
      </c>
      <c r="D61" s="87"/>
      <c r="E61" s="87"/>
      <c r="F61" s="87"/>
      <c r="G61" s="9"/>
      <c r="H61" s="15">
        <v>0</v>
      </c>
      <c r="I61" s="5">
        <f t="shared" si="8"/>
        <v>0</v>
      </c>
      <c r="J61" s="8">
        <f t="shared" si="9"/>
        <v>0</v>
      </c>
    </row>
    <row r="62" spans="1:15" x14ac:dyDescent="0.25">
      <c r="A62" s="30"/>
      <c r="B62" s="41"/>
      <c r="C62" s="87" t="s">
        <v>81</v>
      </c>
      <c r="D62" s="87"/>
      <c r="E62" s="87"/>
      <c r="F62" s="87"/>
      <c r="G62" s="9"/>
      <c r="H62" s="15">
        <v>0</v>
      </c>
      <c r="I62" s="5">
        <f t="shared" si="8"/>
        <v>0</v>
      </c>
      <c r="J62" s="8">
        <f t="shared" si="9"/>
        <v>0</v>
      </c>
    </row>
    <row r="63" spans="1:15" x14ac:dyDescent="0.25">
      <c r="A63" s="30"/>
      <c r="B63" s="41"/>
      <c r="C63" s="87" t="s">
        <v>55</v>
      </c>
      <c r="D63" s="87"/>
      <c r="E63" s="87"/>
      <c r="F63" s="87"/>
      <c r="G63" s="9"/>
      <c r="H63" s="15">
        <v>0</v>
      </c>
      <c r="I63" s="5">
        <f t="shared" si="8"/>
        <v>0</v>
      </c>
      <c r="J63" s="8">
        <f t="shared" si="9"/>
        <v>0</v>
      </c>
    </row>
    <row r="64" spans="1:15" x14ac:dyDescent="0.25">
      <c r="A64" s="30"/>
      <c r="B64" s="41"/>
      <c r="C64" s="87" t="s">
        <v>82</v>
      </c>
      <c r="D64" s="87"/>
      <c r="E64" s="87"/>
      <c r="F64" s="87"/>
      <c r="G64" s="9"/>
      <c r="H64" s="15">
        <v>0</v>
      </c>
      <c r="I64" s="5">
        <f t="shared" si="8"/>
        <v>0</v>
      </c>
      <c r="J64" s="8">
        <f t="shared" si="9"/>
        <v>0</v>
      </c>
    </row>
    <row r="65" spans="1:10" x14ac:dyDescent="0.25">
      <c r="A65" s="30"/>
      <c r="B65" s="41"/>
      <c r="C65" s="87" t="s">
        <v>83</v>
      </c>
      <c r="D65" s="87"/>
      <c r="E65" s="87"/>
      <c r="F65" s="87"/>
      <c r="G65" s="9"/>
      <c r="H65" s="15">
        <v>0</v>
      </c>
      <c r="I65" s="5">
        <f t="shared" si="8"/>
        <v>0</v>
      </c>
      <c r="J65" s="8">
        <f t="shared" si="9"/>
        <v>0</v>
      </c>
    </row>
    <row r="66" spans="1:10" x14ac:dyDescent="0.25">
      <c r="A66" s="30"/>
      <c r="B66" s="41"/>
      <c r="C66" s="87" t="s">
        <v>56</v>
      </c>
      <c r="D66" s="87"/>
      <c r="E66" s="87"/>
      <c r="F66" s="87"/>
      <c r="G66" s="9"/>
      <c r="H66" s="15">
        <v>0</v>
      </c>
      <c r="I66" s="5">
        <f t="shared" si="8"/>
        <v>0</v>
      </c>
      <c r="J66" s="8">
        <f t="shared" si="9"/>
        <v>0</v>
      </c>
    </row>
    <row r="67" spans="1:10" x14ac:dyDescent="0.25">
      <c r="A67" s="30"/>
      <c r="B67" s="41"/>
      <c r="C67" s="87" t="s">
        <v>22</v>
      </c>
      <c r="D67" s="87"/>
      <c r="E67" s="87"/>
      <c r="F67" s="87"/>
      <c r="G67" s="9"/>
      <c r="H67" s="15">
        <v>0</v>
      </c>
      <c r="I67" s="5">
        <f t="shared" si="8"/>
        <v>0</v>
      </c>
      <c r="J67" s="8">
        <f t="shared" ref="J67" si="10">+H67+I67</f>
        <v>0</v>
      </c>
    </row>
    <row r="68" spans="1:10" x14ac:dyDescent="0.25">
      <c r="A68" s="30"/>
      <c r="B68" s="41"/>
      <c r="C68" s="87" t="s">
        <v>102</v>
      </c>
      <c r="D68" s="87"/>
      <c r="E68" s="87"/>
      <c r="F68" s="87"/>
      <c r="G68" s="9"/>
      <c r="H68" s="15">
        <v>0</v>
      </c>
      <c r="I68" s="5">
        <f t="shared" si="8"/>
        <v>0</v>
      </c>
      <c r="J68" s="8">
        <f t="shared" si="9"/>
        <v>0</v>
      </c>
    </row>
    <row r="69" spans="1:10" x14ac:dyDescent="0.25">
      <c r="A69" s="34" t="s">
        <v>25</v>
      </c>
      <c r="B69" s="23" t="s">
        <v>46</v>
      </c>
      <c r="C69" s="87" t="s">
        <v>84</v>
      </c>
      <c r="D69" s="87"/>
      <c r="E69" s="87"/>
      <c r="F69" s="87"/>
      <c r="G69" s="9"/>
      <c r="H69" s="15">
        <v>0</v>
      </c>
      <c r="I69" s="5">
        <f t="shared" si="8"/>
        <v>0</v>
      </c>
      <c r="J69" s="8">
        <f t="shared" si="9"/>
        <v>0</v>
      </c>
    </row>
    <row r="70" spans="1:10" x14ac:dyDescent="0.25">
      <c r="A70" s="34"/>
      <c r="B70" s="23"/>
      <c r="C70" s="87" t="s">
        <v>85</v>
      </c>
      <c r="D70" s="87"/>
      <c r="E70" s="87"/>
      <c r="F70" s="87"/>
      <c r="G70" s="9"/>
      <c r="H70" s="15">
        <v>0</v>
      </c>
      <c r="I70" s="5">
        <f t="shared" si="8"/>
        <v>0</v>
      </c>
      <c r="J70" s="8">
        <f t="shared" ref="J70" si="11">+H70+I70</f>
        <v>0</v>
      </c>
    </row>
    <row r="71" spans="1:10" x14ac:dyDescent="0.25">
      <c r="A71" s="30"/>
      <c r="B71" s="41"/>
      <c r="C71" s="87" t="s">
        <v>47</v>
      </c>
      <c r="D71" s="87"/>
      <c r="E71" s="87"/>
      <c r="F71" s="87"/>
      <c r="G71" s="9"/>
      <c r="H71" s="15">
        <v>0</v>
      </c>
      <c r="I71" s="5">
        <f t="shared" si="8"/>
        <v>0</v>
      </c>
      <c r="J71" s="8">
        <f t="shared" si="9"/>
        <v>0</v>
      </c>
    </row>
    <row r="72" spans="1:10" x14ac:dyDescent="0.25">
      <c r="A72" s="30"/>
      <c r="B72" s="41"/>
      <c r="C72" s="87" t="s">
        <v>20</v>
      </c>
      <c r="D72" s="87"/>
      <c r="E72" s="87"/>
      <c r="F72" s="87"/>
      <c r="G72" s="9"/>
      <c r="H72" s="15">
        <v>0</v>
      </c>
      <c r="I72" s="5">
        <f t="shared" si="8"/>
        <v>0</v>
      </c>
      <c r="J72" s="8">
        <f t="shared" si="9"/>
        <v>0</v>
      </c>
    </row>
    <row r="73" spans="1:10" ht="29.25" customHeight="1" x14ac:dyDescent="0.25">
      <c r="A73" s="30"/>
      <c r="B73" s="41"/>
      <c r="C73" s="84" t="s">
        <v>86</v>
      </c>
      <c r="D73" s="84"/>
      <c r="E73" s="84"/>
      <c r="F73" s="84"/>
      <c r="G73" s="9"/>
      <c r="H73" s="61">
        <v>0</v>
      </c>
      <c r="I73" s="45">
        <f t="shared" si="8"/>
        <v>0</v>
      </c>
      <c r="J73" s="62">
        <f t="shared" si="9"/>
        <v>0</v>
      </c>
    </row>
    <row r="74" spans="1:10" x14ac:dyDescent="0.25">
      <c r="A74" s="30"/>
      <c r="B74" s="41"/>
      <c r="C74" s="87" t="s">
        <v>103</v>
      </c>
      <c r="D74" s="87"/>
      <c r="E74" s="87"/>
      <c r="F74" s="87"/>
      <c r="G74" s="9"/>
      <c r="H74" s="15">
        <v>0</v>
      </c>
      <c r="I74" s="5">
        <f t="shared" si="8"/>
        <v>0</v>
      </c>
      <c r="J74" s="8">
        <f t="shared" ref="J74" si="12">+H74+I74</f>
        <v>0</v>
      </c>
    </row>
    <row r="75" spans="1:10" x14ac:dyDescent="0.25">
      <c r="A75" s="34" t="s">
        <v>26</v>
      </c>
      <c r="B75" s="23" t="s">
        <v>87</v>
      </c>
      <c r="C75" s="87" t="s">
        <v>88</v>
      </c>
      <c r="D75" s="87"/>
      <c r="E75" s="87"/>
      <c r="F75" s="87"/>
      <c r="G75" s="9"/>
      <c r="H75" s="15">
        <v>0</v>
      </c>
      <c r="I75" s="5">
        <f t="shared" si="8"/>
        <v>0</v>
      </c>
      <c r="J75" s="8">
        <f t="shared" si="9"/>
        <v>0</v>
      </c>
    </row>
    <row r="76" spans="1:10" x14ac:dyDescent="0.25">
      <c r="A76" s="34" t="s">
        <v>27</v>
      </c>
      <c r="B76" s="23" t="s">
        <v>104</v>
      </c>
      <c r="C76" s="23" t="s">
        <v>96</v>
      </c>
      <c r="D76" s="23"/>
      <c r="E76" s="23"/>
      <c r="F76" s="23"/>
      <c r="G76" s="9"/>
      <c r="H76" s="15">
        <v>0</v>
      </c>
      <c r="I76" s="5">
        <f t="shared" si="8"/>
        <v>0</v>
      </c>
      <c r="J76" s="8">
        <f t="shared" ref="J76:J77" si="13">+H76+I76</f>
        <v>0</v>
      </c>
    </row>
    <row r="77" spans="1:10" x14ac:dyDescent="0.25">
      <c r="A77" s="48"/>
      <c r="B77" s="47"/>
      <c r="C77" s="47" t="s">
        <v>105</v>
      </c>
      <c r="D77" s="47"/>
      <c r="E77" s="47"/>
      <c r="F77" s="47"/>
      <c r="G77" s="11"/>
      <c r="H77" s="65">
        <v>0</v>
      </c>
      <c r="I77" s="6">
        <f t="shared" si="8"/>
        <v>0</v>
      </c>
      <c r="J77" s="66">
        <f t="shared" si="13"/>
        <v>0</v>
      </c>
    </row>
    <row r="78" spans="1:10" x14ac:dyDescent="0.25">
      <c r="A78" s="31"/>
      <c r="B78" s="85" t="s">
        <v>137</v>
      </c>
      <c r="C78" s="85"/>
      <c r="D78" s="85"/>
      <c r="E78" s="85"/>
      <c r="F78" s="85"/>
      <c r="G78" s="86"/>
      <c r="H78" s="6">
        <f>SUM(H59:H77,H36:H55,H30:H34)</f>
        <v>0</v>
      </c>
      <c r="I78" s="6">
        <f>SUM(I59:I77,I36:I55,I30:I34)</f>
        <v>0</v>
      </c>
      <c r="J78" s="6">
        <f>SUM(J59:J77,J36:J55,J30:J34)</f>
        <v>0</v>
      </c>
    </row>
    <row r="79" spans="1:10" ht="11.1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</row>
    <row r="80" spans="1:10" x14ac:dyDescent="0.25">
      <c r="A80" s="83" t="s">
        <v>8</v>
      </c>
      <c r="B80" s="83"/>
      <c r="C80" s="83"/>
      <c r="D80" s="83"/>
      <c r="E80" s="83"/>
      <c r="F80" s="83"/>
      <c r="G80" s="83"/>
      <c r="H80" s="37">
        <f>+H78</f>
        <v>0</v>
      </c>
      <c r="I80" s="37">
        <f>+I78</f>
        <v>0</v>
      </c>
      <c r="J80" s="37">
        <f>+J78</f>
        <v>0</v>
      </c>
    </row>
    <row r="81" spans="1:13" x14ac:dyDescent="0.25">
      <c r="H81" s="83" t="s">
        <v>9</v>
      </c>
      <c r="I81" s="83"/>
      <c r="J81" s="16">
        <v>0</v>
      </c>
      <c r="M81" s="38"/>
    </row>
    <row r="82" spans="1:13" x14ac:dyDescent="0.25">
      <c r="H82" s="74" t="s">
        <v>120</v>
      </c>
      <c r="I82" s="75"/>
      <c r="J82" s="39">
        <f>+J80+J81</f>
        <v>0</v>
      </c>
    </row>
    <row r="83" spans="1:13" ht="11.1" customHeight="1" x14ac:dyDescent="0.25"/>
    <row r="84" spans="1:13" x14ac:dyDescent="0.25">
      <c r="A84" t="s">
        <v>10</v>
      </c>
    </row>
    <row r="85" spans="1:13" x14ac:dyDescent="0.25">
      <c r="A85" t="s">
        <v>11</v>
      </c>
      <c r="G85" s="64" t="s">
        <v>122</v>
      </c>
    </row>
    <row r="86" spans="1:13" x14ac:dyDescent="0.25">
      <c r="G86" s="35" t="s">
        <v>123</v>
      </c>
      <c r="H86" t="s">
        <v>128</v>
      </c>
    </row>
    <row r="87" spans="1:13" x14ac:dyDescent="0.25">
      <c r="A87" t="s">
        <v>12</v>
      </c>
      <c r="G87" s="35" t="s">
        <v>124</v>
      </c>
      <c r="H87" t="s">
        <v>129</v>
      </c>
    </row>
    <row r="88" spans="1:13" x14ac:dyDescent="0.25">
      <c r="A88" s="1" t="s">
        <v>13</v>
      </c>
      <c r="G88" s="35" t="s">
        <v>125</v>
      </c>
      <c r="H88" t="s">
        <v>130</v>
      </c>
    </row>
    <row r="89" spans="1:13" x14ac:dyDescent="0.25">
      <c r="G89" s="35" t="s">
        <v>126</v>
      </c>
      <c r="H89" s="63" t="s">
        <v>131</v>
      </c>
    </row>
    <row r="90" spans="1:13" x14ac:dyDescent="0.25">
      <c r="G90" s="35" t="s">
        <v>127</v>
      </c>
      <c r="H90" t="s">
        <v>132</v>
      </c>
    </row>
    <row r="91" spans="1:13" x14ac:dyDescent="0.25">
      <c r="H91" t="s">
        <v>130</v>
      </c>
    </row>
    <row r="92" spans="1:13" x14ac:dyDescent="0.25">
      <c r="A92" s="2" t="s">
        <v>14</v>
      </c>
      <c r="H92" t="s">
        <v>133</v>
      </c>
    </row>
    <row r="93" spans="1:13" x14ac:dyDescent="0.25">
      <c r="A93" s="2" t="s">
        <v>50</v>
      </c>
      <c r="H93" t="s">
        <v>134</v>
      </c>
    </row>
  </sheetData>
  <sheetProtection algorithmName="SHA-512" hashValue="qCL2GLnc0cAK8MFXsFHmKDWRaN2ylnJwDG4up+1qmhuE6/bdEf180bzXGJFjFqQDVMh9XBp1T0pdwx8tx4bKOA==" saltValue="xGG4WvI0yk1KOrcj12/e9Q==" spinCount="100000" sheet="1" objects="1" scenarios="1" selectLockedCells="1"/>
  <mergeCells count="54">
    <mergeCell ref="C61:F61"/>
    <mergeCell ref="C63:F63"/>
    <mergeCell ref="C67:F67"/>
    <mergeCell ref="C74:F74"/>
    <mergeCell ref="B48:F48"/>
    <mergeCell ref="B53:F53"/>
    <mergeCell ref="D54:F54"/>
    <mergeCell ref="C69:F69"/>
    <mergeCell ref="C71:F71"/>
    <mergeCell ref="C72:F72"/>
    <mergeCell ref="C66:F66"/>
    <mergeCell ref="C70:F70"/>
    <mergeCell ref="B55:F55"/>
    <mergeCell ref="B58:J58"/>
    <mergeCell ref="C59:F59"/>
    <mergeCell ref="C62:F62"/>
    <mergeCell ref="C64:F64"/>
    <mergeCell ref="C60:F60"/>
    <mergeCell ref="B29:J29"/>
    <mergeCell ref="B30:F30"/>
    <mergeCell ref="B31:F31"/>
    <mergeCell ref="B32:F32"/>
    <mergeCell ref="B52:F52"/>
    <mergeCell ref="B35:J35"/>
    <mergeCell ref="B36:F36"/>
    <mergeCell ref="B37:F37"/>
    <mergeCell ref="B38:F38"/>
    <mergeCell ref="B33:F33"/>
    <mergeCell ref="B34:F34"/>
    <mergeCell ref="C19:F19"/>
    <mergeCell ref="A1:J1"/>
    <mergeCell ref="A6:J6"/>
    <mergeCell ref="A8:J8"/>
    <mergeCell ref="A5:J5"/>
    <mergeCell ref="A4:J4"/>
    <mergeCell ref="A3:J3"/>
    <mergeCell ref="A2:J2"/>
    <mergeCell ref="A7:J7"/>
    <mergeCell ref="C20:F22"/>
    <mergeCell ref="B26:J28"/>
    <mergeCell ref="H82:I82"/>
    <mergeCell ref="E9:F9"/>
    <mergeCell ref="A79:J79"/>
    <mergeCell ref="B25:J25"/>
    <mergeCell ref="C18:F18"/>
    <mergeCell ref="C11:F14"/>
    <mergeCell ref="C15:J17"/>
    <mergeCell ref="A80:G80"/>
    <mergeCell ref="C73:F73"/>
    <mergeCell ref="B78:G78"/>
    <mergeCell ref="H81:I81"/>
    <mergeCell ref="C65:F65"/>
    <mergeCell ref="C75:F75"/>
    <mergeCell ref="C68:F68"/>
  </mergeCells>
  <conditionalFormatting sqref="D54:F54">
    <cfRule type="containsText" dxfId="2" priority="2" operator="containsText" text="Please select">
      <formula>NOT(ISERROR(SEARCH("Please select",D54)))</formula>
    </cfRule>
  </conditionalFormatting>
  <conditionalFormatting sqref="J12:J13">
    <cfRule type="expression" dxfId="1" priority="3">
      <formula>$E$9="Tax Invoice"</formula>
    </cfRule>
  </conditionalFormatting>
  <conditionalFormatting sqref="L12:L13">
    <cfRule type="expression" dxfId="0" priority="1">
      <formula>$E$9="Tax Invoice"</formula>
    </cfRule>
  </conditionalFormatting>
  <dataValidations count="1">
    <dataValidation type="list" allowBlank="1" showInputMessage="1" showErrorMessage="1" sqref="D54:F54" xr:uid="{00000000-0002-0000-0000-000000000000}">
      <formula1>$O$29:$O$57</formula1>
    </dataValidation>
  </dataValidations>
  <printOptions horizontalCentered="1"/>
  <pageMargins left="0.59055118110236227" right="0.70866141732283472" top="0.31496062992125984" bottom="0.15748031496062992" header="0.31496062992125984" footer="0.15748031496062992"/>
  <pageSetup paperSize="9" scale="70" fitToWidth="2" orientation="portrait" r:id="rId1"/>
  <headerFooter>
    <oddFooter>&amp;RPage &amp;P</oddFooter>
  </headerFooter>
  <rowBreaks count="1" manualBreakCount="1">
    <brk id="55" max="9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224"/>
  <sheetViews>
    <sheetView view="pageBreakPreview" topLeftCell="A3" zoomScaleNormal="100" zoomScaleSheetLayoutView="100" workbookViewId="0">
      <selection activeCell="D18" sqref="D18"/>
    </sheetView>
  </sheetViews>
  <sheetFormatPr defaultRowHeight="15" x14ac:dyDescent="0.25"/>
  <cols>
    <col min="1" max="2" width="10.7109375" customWidth="1"/>
    <col min="3" max="8" width="9.7109375" customWidth="1"/>
    <col min="9" max="10" width="10.7109375" customWidth="1"/>
  </cols>
  <sheetData>
    <row r="1" spans="1:12" ht="18.75" x14ac:dyDescent="0.3">
      <c r="A1" s="88" t="s">
        <v>51</v>
      </c>
      <c r="B1" s="88"/>
      <c r="C1" s="88"/>
      <c r="D1" s="88"/>
      <c r="E1" s="88"/>
      <c r="F1" s="88"/>
      <c r="G1" s="88"/>
      <c r="H1" s="88"/>
      <c r="I1" s="88"/>
      <c r="J1" s="88"/>
      <c r="L1" s="18"/>
    </row>
    <row r="2" spans="1:12" ht="15.75" x14ac:dyDescent="0.25">
      <c r="A2" s="90" t="s">
        <v>52</v>
      </c>
      <c r="B2" s="90"/>
      <c r="C2" s="90"/>
      <c r="D2" s="90"/>
      <c r="E2" s="90"/>
      <c r="F2" s="90"/>
      <c r="G2" s="90"/>
      <c r="H2" s="90"/>
      <c r="I2" s="90"/>
      <c r="J2" s="90"/>
      <c r="L2" s="18"/>
    </row>
    <row r="3" spans="1:12" x14ac:dyDescent="0.25">
      <c r="A3" s="89" t="s">
        <v>15</v>
      </c>
      <c r="B3" s="89"/>
      <c r="C3" s="89"/>
      <c r="D3" s="89"/>
      <c r="E3" s="89"/>
      <c r="F3" s="89"/>
      <c r="G3" s="89"/>
      <c r="H3" s="89"/>
      <c r="I3" s="89"/>
      <c r="J3" s="89"/>
      <c r="L3" s="18"/>
    </row>
    <row r="4" spans="1:12" x14ac:dyDescent="0.25">
      <c r="A4" s="89" t="str">
        <f>Sheet1!A4</f>
        <v>UNIT 1519, 15TH FLOOR, LOBBY 6, BLOCK A, JALAN SS20/27, DAMANSARA INTAN, 47300 PETALING JAYA, SELANGOR</v>
      </c>
      <c r="B4" s="89"/>
      <c r="C4" s="89"/>
      <c r="D4" s="89"/>
      <c r="E4" s="89"/>
      <c r="F4" s="89"/>
      <c r="G4" s="89"/>
      <c r="H4" s="89"/>
      <c r="I4" s="89"/>
      <c r="J4" s="89"/>
      <c r="L4" s="18"/>
    </row>
    <row r="5" spans="1:12" x14ac:dyDescent="0.25">
      <c r="A5" s="89" t="str">
        <f>Sheet1!A5</f>
        <v>Tel: 03-77225746/77259175</v>
      </c>
      <c r="B5" s="89"/>
      <c r="C5" s="89"/>
      <c r="D5" s="89"/>
      <c r="E5" s="89"/>
      <c r="F5" s="89"/>
      <c r="G5" s="89"/>
      <c r="H5" s="89"/>
      <c r="I5" s="89"/>
      <c r="J5" s="89"/>
      <c r="L5" s="18"/>
    </row>
    <row r="6" spans="1:12" x14ac:dyDescent="0.25">
      <c r="A6" s="89" t="s">
        <v>16</v>
      </c>
      <c r="B6" s="89"/>
      <c r="C6" s="89"/>
      <c r="D6" s="89"/>
      <c r="E6" s="89"/>
      <c r="F6" s="89"/>
      <c r="G6" s="89"/>
      <c r="H6" s="89"/>
      <c r="I6" s="89"/>
      <c r="J6" s="89"/>
      <c r="L6" s="18"/>
    </row>
    <row r="7" spans="1:12" x14ac:dyDescent="0.25">
      <c r="A7" s="89" t="s">
        <v>114</v>
      </c>
      <c r="B7" s="89"/>
      <c r="C7" s="89"/>
      <c r="D7" s="89"/>
      <c r="E7" s="89"/>
      <c r="F7" s="89"/>
      <c r="G7" s="89"/>
      <c r="H7" s="89"/>
      <c r="I7" s="89"/>
      <c r="J7" s="89"/>
      <c r="L7" s="18"/>
    </row>
    <row r="8" spans="1:12" ht="11.1" customHeight="1" x14ac:dyDescent="0.25">
      <c r="A8" s="89"/>
      <c r="B8" s="89"/>
      <c r="C8" s="89"/>
      <c r="D8" s="89"/>
      <c r="E8" s="89"/>
      <c r="F8" s="89"/>
      <c r="G8" s="89"/>
      <c r="H8" s="89"/>
      <c r="I8" s="89"/>
      <c r="J8" s="89"/>
      <c r="L8" s="18"/>
    </row>
    <row r="9" spans="1:12" ht="18.75" x14ac:dyDescent="0.25">
      <c r="E9" s="76" t="s">
        <v>53</v>
      </c>
      <c r="F9" s="76"/>
      <c r="H9" t="s">
        <v>116</v>
      </c>
      <c r="J9" s="19" t="s">
        <v>117</v>
      </c>
    </row>
    <row r="11" spans="1:12" s="57" customFormat="1" ht="18.75" x14ac:dyDescent="0.3">
      <c r="A11" s="104" t="s">
        <v>108</v>
      </c>
      <c r="B11" s="104"/>
      <c r="C11" s="104"/>
      <c r="D11" s="104"/>
      <c r="E11" s="104"/>
      <c r="F11" s="104"/>
      <c r="G11" s="104"/>
      <c r="H11" s="104"/>
      <c r="I11" s="104"/>
      <c r="J11" s="104"/>
    </row>
    <row r="13" spans="1:12" x14ac:dyDescent="0.25">
      <c r="A13" s="60"/>
      <c r="H13" s="60" t="s">
        <v>109</v>
      </c>
    </row>
    <row r="14" spans="1:12" s="20" customFormat="1" x14ac:dyDescent="0.25">
      <c r="H14" s="58"/>
    </row>
    <row r="15" spans="1:12" s="20" customFormat="1" x14ac:dyDescent="0.25">
      <c r="A15" s="20">
        <v>1</v>
      </c>
      <c r="B15" s="20" t="s">
        <v>111</v>
      </c>
      <c r="H15" s="58">
        <v>2000</v>
      </c>
    </row>
    <row r="16" spans="1:12" s="20" customFormat="1" x14ac:dyDescent="0.25">
      <c r="A16" s="20">
        <v>2</v>
      </c>
      <c r="B16" s="20" t="s">
        <v>112</v>
      </c>
      <c r="H16" s="58">
        <v>2000</v>
      </c>
    </row>
    <row r="17" spans="1:8" s="20" customFormat="1" x14ac:dyDescent="0.25">
      <c r="A17" s="20">
        <v>3</v>
      </c>
      <c r="B17" s="20" t="s">
        <v>113</v>
      </c>
      <c r="H17" s="58">
        <v>3000</v>
      </c>
    </row>
    <row r="18" spans="1:8" s="20" customFormat="1" x14ac:dyDescent="0.25">
      <c r="H18" s="58"/>
    </row>
    <row r="19" spans="1:8" s="20" customFormat="1" x14ac:dyDescent="0.25">
      <c r="H19" s="58"/>
    </row>
    <row r="20" spans="1:8" s="20" customFormat="1" x14ac:dyDescent="0.25">
      <c r="H20" s="58"/>
    </row>
    <row r="21" spans="1:8" s="20" customFormat="1" x14ac:dyDescent="0.25">
      <c r="H21" s="58"/>
    </row>
    <row r="22" spans="1:8" s="20" customFormat="1" x14ac:dyDescent="0.25">
      <c r="H22" s="58"/>
    </row>
    <row r="23" spans="1:8" s="20" customFormat="1" x14ac:dyDescent="0.25">
      <c r="H23" s="58"/>
    </row>
    <row r="24" spans="1:8" s="20" customFormat="1" x14ac:dyDescent="0.25">
      <c r="H24" s="58"/>
    </row>
    <row r="25" spans="1:8" s="20" customFormat="1" x14ac:dyDescent="0.25">
      <c r="H25" s="58"/>
    </row>
    <row r="26" spans="1:8" s="20" customFormat="1" x14ac:dyDescent="0.25">
      <c r="H26" s="58"/>
    </row>
    <row r="27" spans="1:8" s="20" customFormat="1" x14ac:dyDescent="0.25">
      <c r="H27" s="58"/>
    </row>
    <row r="28" spans="1:8" s="20" customFormat="1" x14ac:dyDescent="0.25">
      <c r="H28" s="58"/>
    </row>
    <row r="29" spans="1:8" s="20" customFormat="1" x14ac:dyDescent="0.25">
      <c r="H29" s="58"/>
    </row>
    <row r="30" spans="1:8" s="20" customFormat="1" x14ac:dyDescent="0.25">
      <c r="H30" s="58"/>
    </row>
    <row r="31" spans="1:8" s="20" customFormat="1" x14ac:dyDescent="0.25">
      <c r="H31" s="58"/>
    </row>
    <row r="32" spans="1:8" s="20" customFormat="1" x14ac:dyDescent="0.25">
      <c r="H32" s="58"/>
    </row>
    <row r="33" spans="8:8" s="20" customFormat="1" x14ac:dyDescent="0.25">
      <c r="H33" s="58"/>
    </row>
    <row r="34" spans="8:8" s="20" customFormat="1" x14ac:dyDescent="0.25">
      <c r="H34" s="58"/>
    </row>
    <row r="35" spans="8:8" s="20" customFormat="1" x14ac:dyDescent="0.25">
      <c r="H35" s="58"/>
    </row>
    <row r="36" spans="8:8" s="20" customFormat="1" x14ac:dyDescent="0.25">
      <c r="H36" s="58"/>
    </row>
    <row r="37" spans="8:8" s="20" customFormat="1" x14ac:dyDescent="0.25">
      <c r="H37" s="58"/>
    </row>
    <row r="38" spans="8:8" s="20" customFormat="1" x14ac:dyDescent="0.25">
      <c r="H38" s="58"/>
    </row>
    <row r="39" spans="8:8" s="20" customFormat="1" x14ac:dyDescent="0.25">
      <c r="H39" s="58"/>
    </row>
    <row r="40" spans="8:8" s="20" customFormat="1" x14ac:dyDescent="0.25">
      <c r="H40" s="58"/>
    </row>
    <row r="41" spans="8:8" s="20" customFormat="1" x14ac:dyDescent="0.25">
      <c r="H41" s="58"/>
    </row>
    <row r="42" spans="8:8" s="20" customFormat="1" x14ac:dyDescent="0.25">
      <c r="H42" s="58"/>
    </row>
    <row r="43" spans="8:8" s="20" customFormat="1" x14ac:dyDescent="0.25">
      <c r="H43" s="58"/>
    </row>
    <row r="44" spans="8:8" s="20" customFormat="1" x14ac:dyDescent="0.25">
      <c r="H44" s="58"/>
    </row>
    <row r="45" spans="8:8" s="20" customFormat="1" x14ac:dyDescent="0.25">
      <c r="H45" s="58"/>
    </row>
    <row r="46" spans="8:8" s="20" customFormat="1" x14ac:dyDescent="0.25">
      <c r="H46" s="58"/>
    </row>
    <row r="47" spans="8:8" s="20" customFormat="1" x14ac:dyDescent="0.25">
      <c r="H47" s="58"/>
    </row>
    <row r="48" spans="8:8" s="20" customFormat="1" x14ac:dyDescent="0.25">
      <c r="H48" s="58"/>
    </row>
    <row r="49" spans="2:8" s="20" customFormat="1" x14ac:dyDescent="0.25">
      <c r="H49" s="58"/>
    </row>
    <row r="50" spans="2:8" s="20" customFormat="1" x14ac:dyDescent="0.25">
      <c r="B50" s="20" t="s">
        <v>110</v>
      </c>
      <c r="H50" s="59">
        <f>SUM(H14:H49)</f>
        <v>7000</v>
      </c>
    </row>
    <row r="101" s="20" customFormat="1" x14ac:dyDescent="0.25"/>
    <row r="102" s="20" customFormat="1" x14ac:dyDescent="0.25"/>
    <row r="103" s="20" customFormat="1" x14ac:dyDescent="0.25"/>
    <row r="104" s="20" customFormat="1" x14ac:dyDescent="0.25"/>
    <row r="105" s="20" customFormat="1" x14ac:dyDescent="0.25"/>
    <row r="106" s="20" customFormat="1" x14ac:dyDescent="0.25"/>
    <row r="107" s="20" customFormat="1" x14ac:dyDescent="0.25"/>
    <row r="108" s="20" customFormat="1" x14ac:dyDescent="0.25"/>
    <row r="109" s="20" customFormat="1" x14ac:dyDescent="0.25"/>
    <row r="110" s="20" customFormat="1" x14ac:dyDescent="0.25"/>
    <row r="111" s="20" customFormat="1" x14ac:dyDescent="0.25"/>
    <row r="112" s="20" customFormat="1" x14ac:dyDescent="0.25"/>
    <row r="113" s="20" customFormat="1" x14ac:dyDescent="0.25"/>
    <row r="114" s="20" customFormat="1" x14ac:dyDescent="0.25"/>
    <row r="115" s="20" customFormat="1" x14ac:dyDescent="0.25"/>
    <row r="116" s="20" customFormat="1" x14ac:dyDescent="0.25"/>
    <row r="117" s="20" customFormat="1" x14ac:dyDescent="0.25"/>
    <row r="118" s="20" customFormat="1" x14ac:dyDescent="0.25"/>
    <row r="119" s="20" customFormat="1" x14ac:dyDescent="0.25"/>
    <row r="120" s="20" customFormat="1" x14ac:dyDescent="0.25"/>
    <row r="121" s="20" customFormat="1" x14ac:dyDescent="0.25"/>
    <row r="122" s="20" customFormat="1" x14ac:dyDescent="0.25"/>
    <row r="123" s="20" customFormat="1" x14ac:dyDescent="0.25"/>
    <row r="124" s="20" customFormat="1" x14ac:dyDescent="0.25"/>
    <row r="125" s="20" customFormat="1" x14ac:dyDescent="0.25"/>
    <row r="126" s="20" customFormat="1" x14ac:dyDescent="0.25"/>
    <row r="127" s="20" customFormat="1" x14ac:dyDescent="0.25"/>
    <row r="128" s="20" customFormat="1" x14ac:dyDescent="0.25"/>
    <row r="129" s="20" customFormat="1" x14ac:dyDescent="0.25"/>
    <row r="130" s="20" customFormat="1" x14ac:dyDescent="0.25"/>
    <row r="131" s="20" customFormat="1" x14ac:dyDescent="0.25"/>
    <row r="132" s="20" customFormat="1" x14ac:dyDescent="0.25"/>
    <row r="133" s="20" customFormat="1" x14ac:dyDescent="0.25"/>
    <row r="134" s="20" customFormat="1" x14ac:dyDescent="0.25"/>
    <row r="135" s="20" customFormat="1" x14ac:dyDescent="0.25"/>
    <row r="136" s="20" customFormat="1" x14ac:dyDescent="0.25"/>
    <row r="137" s="20" customFormat="1" x14ac:dyDescent="0.25"/>
    <row r="138" s="20" customFormat="1" x14ac:dyDescent="0.25"/>
    <row r="139" s="20" customFormat="1" x14ac:dyDescent="0.25"/>
    <row r="140" s="20" customFormat="1" x14ac:dyDescent="0.25"/>
    <row r="141" s="20" customFormat="1" x14ac:dyDescent="0.25"/>
    <row r="142" s="20" customFormat="1" x14ac:dyDescent="0.25"/>
    <row r="143" s="20" customFormat="1" x14ac:dyDescent="0.25"/>
    <row r="144" s="20" customFormat="1" x14ac:dyDescent="0.25"/>
    <row r="145" s="20" customFormat="1" x14ac:dyDescent="0.25"/>
    <row r="146" s="20" customFormat="1" x14ac:dyDescent="0.25"/>
    <row r="147" s="20" customFormat="1" x14ac:dyDescent="0.25"/>
    <row r="148" s="20" customFormat="1" x14ac:dyDescent="0.25"/>
    <row r="149" s="20" customFormat="1" x14ac:dyDescent="0.25"/>
    <row r="150" s="20" customFormat="1" x14ac:dyDescent="0.25"/>
    <row r="151" s="20" customFormat="1" x14ac:dyDescent="0.25"/>
    <row r="152" s="20" customFormat="1" x14ac:dyDescent="0.25"/>
    <row r="153" s="20" customFormat="1" x14ac:dyDescent="0.25"/>
    <row r="154" s="20" customFormat="1" x14ac:dyDescent="0.25"/>
    <row r="155" s="20" customFormat="1" x14ac:dyDescent="0.25"/>
    <row r="156" s="20" customFormat="1" x14ac:dyDescent="0.25"/>
    <row r="157" s="20" customFormat="1" x14ac:dyDescent="0.25"/>
    <row r="158" s="20" customFormat="1" x14ac:dyDescent="0.25"/>
    <row r="159" s="20" customFormat="1" x14ac:dyDescent="0.25"/>
    <row r="160" s="20" customFormat="1" x14ac:dyDescent="0.25"/>
    <row r="161" s="20" customFormat="1" x14ac:dyDescent="0.25"/>
    <row r="162" s="20" customFormat="1" x14ac:dyDescent="0.25"/>
    <row r="163" s="20" customFormat="1" x14ac:dyDescent="0.25"/>
    <row r="164" s="20" customFormat="1" x14ac:dyDescent="0.25"/>
    <row r="165" s="20" customFormat="1" x14ac:dyDescent="0.25"/>
    <row r="166" s="20" customFormat="1" x14ac:dyDescent="0.25"/>
    <row r="167" s="20" customFormat="1" x14ac:dyDescent="0.25"/>
    <row r="168" s="20" customFormat="1" x14ac:dyDescent="0.25"/>
    <row r="169" s="20" customFormat="1" x14ac:dyDescent="0.25"/>
    <row r="170" s="20" customFormat="1" x14ac:dyDescent="0.25"/>
    <row r="171" s="20" customFormat="1" x14ac:dyDescent="0.25"/>
    <row r="172" s="20" customFormat="1" x14ac:dyDescent="0.25"/>
    <row r="173" s="20" customFormat="1" x14ac:dyDescent="0.25"/>
    <row r="174" s="20" customFormat="1" x14ac:dyDescent="0.25"/>
    <row r="175" s="20" customFormat="1" x14ac:dyDescent="0.25"/>
    <row r="176" s="20" customFormat="1" x14ac:dyDescent="0.25"/>
    <row r="177" s="20" customFormat="1" x14ac:dyDescent="0.25"/>
    <row r="178" s="20" customFormat="1" x14ac:dyDescent="0.25"/>
    <row r="179" s="20" customFormat="1" x14ac:dyDescent="0.25"/>
    <row r="180" s="20" customFormat="1" x14ac:dyDescent="0.25"/>
    <row r="181" s="20" customFormat="1" x14ac:dyDescent="0.25"/>
    <row r="182" s="20" customFormat="1" x14ac:dyDescent="0.25"/>
    <row r="183" s="20" customFormat="1" x14ac:dyDescent="0.25"/>
    <row r="184" s="20" customFormat="1" x14ac:dyDescent="0.25"/>
    <row r="185" s="20" customFormat="1" x14ac:dyDescent="0.25"/>
    <row r="186" s="20" customFormat="1" x14ac:dyDescent="0.25"/>
    <row r="187" s="20" customFormat="1" x14ac:dyDescent="0.25"/>
    <row r="188" s="20" customFormat="1" x14ac:dyDescent="0.25"/>
    <row r="189" s="20" customFormat="1" x14ac:dyDescent="0.25"/>
    <row r="190" s="20" customFormat="1" x14ac:dyDescent="0.25"/>
    <row r="191" s="20" customFormat="1" x14ac:dyDescent="0.25"/>
    <row r="192" s="20" customFormat="1" x14ac:dyDescent="0.25"/>
    <row r="193" s="20" customFormat="1" x14ac:dyDescent="0.25"/>
    <row r="194" s="20" customFormat="1" x14ac:dyDescent="0.25"/>
    <row r="195" s="20" customFormat="1" x14ac:dyDescent="0.25"/>
    <row r="196" s="20" customFormat="1" x14ac:dyDescent="0.25"/>
    <row r="197" s="20" customFormat="1" x14ac:dyDescent="0.25"/>
    <row r="198" s="20" customFormat="1" x14ac:dyDescent="0.25"/>
    <row r="199" s="20" customFormat="1" x14ac:dyDescent="0.25"/>
    <row r="200" s="20" customFormat="1" x14ac:dyDescent="0.25"/>
    <row r="201" s="20" customFormat="1" x14ac:dyDescent="0.25"/>
    <row r="202" s="20" customFormat="1" x14ac:dyDescent="0.25"/>
    <row r="203" s="20" customFormat="1" x14ac:dyDescent="0.25"/>
    <row r="204" s="20" customFormat="1" x14ac:dyDescent="0.25"/>
    <row r="205" s="20" customFormat="1" x14ac:dyDescent="0.25"/>
    <row r="206" s="20" customFormat="1" x14ac:dyDescent="0.25"/>
    <row r="207" s="20" customFormat="1" x14ac:dyDescent="0.25"/>
    <row r="208" s="20" customFormat="1" x14ac:dyDescent="0.25"/>
    <row r="209" s="20" customFormat="1" x14ac:dyDescent="0.25"/>
    <row r="210" s="20" customFormat="1" x14ac:dyDescent="0.25"/>
    <row r="211" s="20" customFormat="1" x14ac:dyDescent="0.25"/>
    <row r="212" s="20" customFormat="1" x14ac:dyDescent="0.25"/>
    <row r="213" s="20" customFormat="1" x14ac:dyDescent="0.25"/>
    <row r="214" s="20" customFormat="1" x14ac:dyDescent="0.25"/>
    <row r="215" s="20" customFormat="1" x14ac:dyDescent="0.25"/>
    <row r="216" s="20" customFormat="1" x14ac:dyDescent="0.25"/>
    <row r="217" s="20" customFormat="1" x14ac:dyDescent="0.25"/>
    <row r="218" s="20" customFormat="1" x14ac:dyDescent="0.25"/>
    <row r="219" s="20" customFormat="1" x14ac:dyDescent="0.25"/>
    <row r="220" s="20" customFormat="1" x14ac:dyDescent="0.25"/>
    <row r="221" s="20" customFormat="1" x14ac:dyDescent="0.25"/>
    <row r="222" s="20" customFormat="1" x14ac:dyDescent="0.25"/>
    <row r="223" s="20" customFormat="1" x14ac:dyDescent="0.25"/>
    <row r="224" s="20" customFormat="1" x14ac:dyDescent="0.25"/>
  </sheetData>
  <sheetProtection password="8BF2" sheet="1" objects="1" scenarios="1" selectLockedCells="1"/>
  <mergeCells count="10">
    <mergeCell ref="A11:J11"/>
    <mergeCell ref="A7:J7"/>
    <mergeCell ref="A8:J8"/>
    <mergeCell ref="E9:F9"/>
    <mergeCell ref="A1:J1"/>
    <mergeCell ref="A2:J2"/>
    <mergeCell ref="A3:J3"/>
    <mergeCell ref="A4:J4"/>
    <mergeCell ref="A5:J5"/>
    <mergeCell ref="A6:J6"/>
  </mergeCells>
  <pageMargins left="0.39370078740157483" right="0.39370078740157483" top="0.74803149606299213" bottom="0.74803149606299213" header="0.31496062992125984" footer="0.31496062992125984"/>
  <pageSetup paperSize="9" scale="9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Attm I</vt:lpstr>
      <vt:lpstr>'Attm I'!Print_Area</vt:lpstr>
      <vt:lpstr>Sheet1!Print_Area</vt:lpstr>
      <vt:lpstr>Sheet1!Print_Titles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khairinnisa new</dc:creator>
  <cp:lastModifiedBy>khairinnisa new</cp:lastModifiedBy>
  <cp:lastPrinted>2026-02-03T02:08:26Z</cp:lastPrinted>
  <dcterms:created xsi:type="dcterms:W3CDTF">2015-03-10T14:43:27Z</dcterms:created>
  <dcterms:modified xsi:type="dcterms:W3CDTF">2026-03-27T07:22:43Z</dcterms:modified>
</cp:coreProperties>
</file>